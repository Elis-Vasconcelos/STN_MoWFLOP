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3" sheetId="2" r:id="rId6"/>
  </sheets>
  <definedNames/>
  <calcPr/>
</workbook>
</file>

<file path=xl/sharedStrings.xml><?xml version="1.0" encoding="utf-8"?>
<sst xmlns="http://schemas.openxmlformats.org/spreadsheetml/2006/main" count="546" uniqueCount="478">
  <si>
    <t>Instance</t>
  </si>
  <si>
    <t>Available positions</t>
  </si>
  <si>
    <t xml:space="preserve"> Zones </t>
  </si>
  <si>
    <t>Total Turbines</t>
  </si>
  <si>
    <t>Fixed turbines (10MW)</t>
  </si>
  <si>
    <t xml:space="preserve">Turbines per zone (15MW) </t>
  </si>
  <si>
    <t>Turbines Zone 1</t>
  </si>
  <si>
    <t>Turbines Zone 2</t>
  </si>
  <si>
    <t>Turbines Zone 3</t>
  </si>
  <si>
    <t>Densidade</t>
  </si>
  <si>
    <t>135, 196, 101</t>
  </si>
  <si>
    <t>25, 22, 28</t>
  </si>
  <si>
    <t>172</t>
  </si>
  <si>
    <t>57, 76</t>
  </si>
  <si>
    <t>58, 17, 169</t>
  </si>
  <si>
    <t>240, 99</t>
  </si>
  <si>
    <t>89, 147</t>
  </si>
  <si>
    <t>80</t>
  </si>
  <si>
    <t>78, 12, 105</t>
  </si>
  <si>
    <t>198, 91</t>
  </si>
  <si>
    <t>63, 82</t>
  </si>
  <si>
    <t>7, 58, 216</t>
  </si>
  <si>
    <t>39</t>
  </si>
  <si>
    <t>217, 134, 11</t>
  </si>
  <si>
    <t>16, 84</t>
  </si>
  <si>
    <t>28, 98</t>
  </si>
  <si>
    <t>31</t>
  </si>
  <si>
    <t>19, 19</t>
  </si>
  <si>
    <t>136, 47</t>
  </si>
  <si>
    <t>29, 84</t>
  </si>
  <si>
    <t>148</t>
  </si>
  <si>
    <t>37, 101, 38</t>
  </si>
  <si>
    <t>105, 82</t>
  </si>
  <si>
    <t>38, 67, 78</t>
  </si>
  <si>
    <t>26, 80</t>
  </si>
  <si>
    <t>69, 29, 92</t>
  </si>
  <si>
    <t>168</t>
  </si>
  <si>
    <t>11, 8, 227</t>
  </si>
  <si>
    <t>11, 120</t>
  </si>
  <si>
    <t>128, 170</t>
  </si>
  <si>
    <t>187</t>
  </si>
  <si>
    <t>154</t>
  </si>
  <si>
    <t>40, 158</t>
  </si>
  <si>
    <t>90, 77, 173</t>
  </si>
  <si>
    <t>242, 13, 30</t>
  </si>
  <si>
    <t>164, 128, 84</t>
  </si>
  <si>
    <t>60</t>
  </si>
  <si>
    <t>75</t>
  </si>
  <si>
    <t>271</t>
  </si>
  <si>
    <t>73, 129</t>
  </si>
  <si>
    <t>48, 19</t>
  </si>
  <si>
    <t>49, 50, 24</t>
  </si>
  <si>
    <t>45</t>
  </si>
  <si>
    <t>22, 145, 138</t>
  </si>
  <si>
    <t>61, 149</t>
  </si>
  <si>
    <t>37, 16, 13</t>
  </si>
  <si>
    <t>64, 62, 127</t>
  </si>
  <si>
    <t>59, 32</t>
  </si>
  <si>
    <t>21</t>
  </si>
  <si>
    <t>135</t>
  </si>
  <si>
    <t>11, 192, 154</t>
  </si>
  <si>
    <t>135, 239</t>
  </si>
  <si>
    <t>12, 88, 176</t>
  </si>
  <si>
    <t>321, 28, 87</t>
  </si>
  <si>
    <t>163, 56</t>
  </si>
  <si>
    <t>84, 185</t>
  </si>
  <si>
    <t>148, 66, 133</t>
  </si>
  <si>
    <t>220</t>
  </si>
  <si>
    <t>45, 15, 37</t>
  </si>
  <si>
    <t>71</t>
  </si>
  <si>
    <t>108, 76, 157</t>
  </si>
  <si>
    <t>59</t>
  </si>
  <si>
    <t>49, 100, 53</t>
  </si>
  <si>
    <t>107, 59, 180</t>
  </si>
  <si>
    <t>152, 126</t>
  </si>
  <si>
    <t>30, 283</t>
  </si>
  <si>
    <t>58, 43, 89</t>
  </si>
  <si>
    <t>60, 167</t>
  </si>
  <si>
    <t>44, 158</t>
  </si>
  <si>
    <t>169</t>
  </si>
  <si>
    <t>25, 103, 250</t>
  </si>
  <si>
    <t>25, 64</t>
  </si>
  <si>
    <t>10, 81</t>
  </si>
  <si>
    <t>70, 146, 20</t>
  </si>
  <si>
    <t>121</t>
  </si>
  <si>
    <t>6, 69</t>
  </si>
  <si>
    <t>71, 97</t>
  </si>
  <si>
    <t>42</t>
  </si>
  <si>
    <t>88</t>
  </si>
  <si>
    <t>14, 271, 60</t>
  </si>
  <si>
    <t>254, 71</t>
  </si>
  <si>
    <t>35, 146</t>
  </si>
  <si>
    <t>60, 151</t>
  </si>
  <si>
    <t>323, 60</t>
  </si>
  <si>
    <t>31, 23, 74</t>
  </si>
  <si>
    <t>173, 49, 63</t>
  </si>
  <si>
    <t>34, 88, 69</t>
  </si>
  <si>
    <t>96</t>
  </si>
  <si>
    <t>61, 175, 211</t>
  </si>
  <si>
    <t>130, 145, 65</t>
  </si>
  <si>
    <t>7, 52</t>
  </si>
  <si>
    <t>15, 107</t>
  </si>
  <si>
    <t>33, 237</t>
  </si>
  <si>
    <t>36, 107, 110</t>
  </si>
  <si>
    <t>41, 22</t>
  </si>
  <si>
    <t>5, 187, 87</t>
  </si>
  <si>
    <t>63</t>
  </si>
  <si>
    <t>164, 56, 121</t>
  </si>
  <si>
    <t>40, 61, 4</t>
  </si>
  <si>
    <t>131, 16</t>
  </si>
  <si>
    <t>76, 14, 25</t>
  </si>
  <si>
    <t>136</t>
  </si>
  <si>
    <t>A</t>
  </si>
  <si>
    <t>B</t>
  </si>
  <si>
    <t>29</t>
  </si>
  <si>
    <t>C</t>
  </si>
  <si>
    <t>D</t>
  </si>
  <si>
    <t>E</t>
  </si>
  <si>
    <t>61</t>
  </si>
  <si>
    <t>F</t>
  </si>
  <si>
    <t>G</t>
  </si>
  <si>
    <t>222, 191, 127</t>
  </si>
  <si>
    <t>H</t>
  </si>
  <si>
    <t>I</t>
  </si>
  <si>
    <t>J</t>
  </si>
  <si>
    <t>41, 127, 246</t>
  </si>
  <si>
    <t>17, 123</t>
  </si>
  <si>
    <t>22, 26</t>
  </si>
  <si>
    <t>86, 12</t>
  </si>
  <si>
    <t>49</t>
  </si>
  <si>
    <t>118, 114</t>
  </si>
  <si>
    <t>99</t>
  </si>
  <si>
    <t>161, 42</t>
  </si>
  <si>
    <t>61, 149, 33</t>
  </si>
  <si>
    <t>15, 8</t>
  </si>
  <si>
    <t>44, 263, 295</t>
  </si>
  <si>
    <t>90, 126</t>
  </si>
  <si>
    <t>150, 95</t>
  </si>
  <si>
    <t>81, 24</t>
  </si>
  <si>
    <t>203</t>
  </si>
  <si>
    <t>6, 82</t>
  </si>
  <si>
    <t>144</t>
  </si>
  <si>
    <t>178, 130, 87</t>
  </si>
  <si>
    <t>264, 124, 75</t>
  </si>
  <si>
    <t>38</t>
  </si>
  <si>
    <t>97, 44</t>
  </si>
  <si>
    <t>282</t>
  </si>
  <si>
    <t>21, 116, 104</t>
  </si>
  <si>
    <t>263, 10, 121</t>
  </si>
  <si>
    <t>69</t>
  </si>
  <si>
    <t>99, 11</t>
  </si>
  <si>
    <t>10, 282</t>
  </si>
  <si>
    <t>82, 126</t>
  </si>
  <si>
    <t>105</t>
  </si>
  <si>
    <t>78, 142, 24</t>
  </si>
  <si>
    <t>25, 50</t>
  </si>
  <si>
    <t>60, 5, 260</t>
  </si>
  <si>
    <t>17, 55</t>
  </si>
  <si>
    <t>51, 118, 78</t>
  </si>
  <si>
    <t>261</t>
  </si>
  <si>
    <t>127</t>
  </si>
  <si>
    <t>89, 13</t>
  </si>
  <si>
    <t>43</t>
  </si>
  <si>
    <t>100, 163, 118</t>
  </si>
  <si>
    <t>56</t>
  </si>
  <si>
    <t>152, 23, 129</t>
  </si>
  <si>
    <t>190</t>
  </si>
  <si>
    <t>23, 161, 197</t>
  </si>
  <si>
    <t>80, 105</t>
  </si>
  <si>
    <t>16, 68</t>
  </si>
  <si>
    <t>205</t>
  </si>
  <si>
    <t>81</t>
  </si>
  <si>
    <t>53, 152, 8</t>
  </si>
  <si>
    <t>52</t>
  </si>
  <si>
    <t>54, 120, 65</t>
  </si>
  <si>
    <t>58, 140</t>
  </si>
  <si>
    <t>83</t>
  </si>
  <si>
    <t>67</t>
  </si>
  <si>
    <t>52, 60, 163</t>
  </si>
  <si>
    <t>91, 263, 250</t>
  </si>
  <si>
    <t>163, 105</t>
  </si>
  <si>
    <t>295, 85, 128</t>
  </si>
  <si>
    <t>230</t>
  </si>
  <si>
    <t>76, 15</t>
  </si>
  <si>
    <t>62, 85, 57</t>
  </si>
  <si>
    <t>59, 124, 13</t>
  </si>
  <si>
    <t>308, 38</t>
  </si>
  <si>
    <t>210</t>
  </si>
  <si>
    <t>23</t>
  </si>
  <si>
    <t>221, 84, 96</t>
  </si>
  <si>
    <t>118</t>
  </si>
  <si>
    <t>246, 76, 80</t>
  </si>
  <si>
    <t>181</t>
  </si>
  <si>
    <t>62, 77, 92</t>
  </si>
  <si>
    <t>30</t>
  </si>
  <si>
    <t>50, 124</t>
  </si>
  <si>
    <t>224, 162, 173</t>
  </si>
  <si>
    <t>120, 24, 71</t>
  </si>
  <si>
    <t>21, 114, 102</t>
  </si>
  <si>
    <t>254, 53</t>
  </si>
  <si>
    <t>36, 273, 34</t>
  </si>
  <si>
    <t>236</t>
  </si>
  <si>
    <t>231, 66, 14</t>
  </si>
  <si>
    <t>146</t>
  </si>
  <si>
    <t>88, 24, 160</t>
  </si>
  <si>
    <t>127, 57</t>
  </si>
  <si>
    <t>246, 36</t>
  </si>
  <si>
    <t>20, 38, 52</t>
  </si>
  <si>
    <t>12, 30</t>
  </si>
  <si>
    <t>47</t>
  </si>
  <si>
    <t>16, 25</t>
  </si>
  <si>
    <t>108, 115, 176</t>
  </si>
  <si>
    <t>69, 25</t>
  </si>
  <si>
    <t>194, 4, 150</t>
  </si>
  <si>
    <t>27, 10, 28</t>
  </si>
  <si>
    <t>53, 25, 18</t>
  </si>
  <si>
    <t>176</t>
  </si>
  <si>
    <t>22, 13, 59</t>
  </si>
  <si>
    <t>71, 230, 19</t>
  </si>
  <si>
    <t>15, 33, 35</t>
  </si>
  <si>
    <t>58, 47</t>
  </si>
  <si>
    <t>46</t>
  </si>
  <si>
    <t>100</t>
  </si>
  <si>
    <t>46, 15</t>
  </si>
  <si>
    <t>57, 10</t>
  </si>
  <si>
    <t>34, 55</t>
  </si>
  <si>
    <t>148, 61, 220</t>
  </si>
  <si>
    <t>72, 11, 113</t>
  </si>
  <si>
    <t>152, 8</t>
  </si>
  <si>
    <t>16, 70</t>
  </si>
  <si>
    <t>60, 89</t>
  </si>
  <si>
    <t>43, 53</t>
  </si>
  <si>
    <t>15, 37</t>
  </si>
  <si>
    <t>10, 246</t>
  </si>
  <si>
    <t>3, 75</t>
  </si>
  <si>
    <t>22, 199</t>
  </si>
  <si>
    <t>76</t>
  </si>
  <si>
    <t>63, 31, 5</t>
  </si>
  <si>
    <t>45, 60, 154</t>
  </si>
  <si>
    <t>38, 109, 23</t>
  </si>
  <si>
    <t>303</t>
  </si>
  <si>
    <t>53, 262, 88</t>
  </si>
  <si>
    <t>138</t>
  </si>
  <si>
    <t>131, 53, 92</t>
  </si>
  <si>
    <t>77</t>
  </si>
  <si>
    <t>140, 25, 13</t>
  </si>
  <si>
    <t>48, 23</t>
  </si>
  <si>
    <t>120</t>
  </si>
  <si>
    <t>134, 29</t>
  </si>
  <si>
    <t>34, 61, 75</t>
  </si>
  <si>
    <t>54, 43</t>
  </si>
  <si>
    <t>28</t>
  </si>
  <si>
    <t>48, 65</t>
  </si>
  <si>
    <t>315, 213</t>
  </si>
  <si>
    <t>43, 252, 92</t>
  </si>
  <si>
    <t>90, 31</t>
  </si>
  <si>
    <t>14, 106, 71</t>
  </si>
  <si>
    <t>227</t>
  </si>
  <si>
    <t>294, 141</t>
  </si>
  <si>
    <t>174, 158, 13</t>
  </si>
  <si>
    <t>126</t>
  </si>
  <si>
    <t>46, 31, 13</t>
  </si>
  <si>
    <t>182</t>
  </si>
  <si>
    <t>113, 243, 112</t>
  </si>
  <si>
    <t>231</t>
  </si>
  <si>
    <t>123</t>
  </si>
  <si>
    <t>47, 85, 46</t>
  </si>
  <si>
    <t>16, 67</t>
  </si>
  <si>
    <t>17, 175</t>
  </si>
  <si>
    <t>45, 189, 83</t>
  </si>
  <si>
    <t>82, 23</t>
  </si>
  <si>
    <t>112, 47</t>
  </si>
  <si>
    <t>109</t>
  </si>
  <si>
    <t>10, 54, 10</t>
  </si>
  <si>
    <t>74, 148</t>
  </si>
  <si>
    <t>58, 163, 71</t>
  </si>
  <si>
    <t>164, 73, 295</t>
  </si>
  <si>
    <t>77, 120</t>
  </si>
  <si>
    <t>157, 29</t>
  </si>
  <si>
    <t>45, 19</t>
  </si>
  <si>
    <t>293</t>
  </si>
  <si>
    <t>53, 61</t>
  </si>
  <si>
    <t>40, 99</t>
  </si>
  <si>
    <t>114</t>
  </si>
  <si>
    <t>134</t>
  </si>
  <si>
    <t>6, 58</t>
  </si>
  <si>
    <t>7, 232</t>
  </si>
  <si>
    <t>33, 155</t>
  </si>
  <si>
    <t>165, 12</t>
  </si>
  <si>
    <t>36, 141, 55</t>
  </si>
  <si>
    <t>96, 33, 134</t>
  </si>
  <si>
    <t>143</t>
  </si>
  <si>
    <t>82</t>
  </si>
  <si>
    <t>50, 51, 201</t>
  </si>
  <si>
    <t>30, 72</t>
  </si>
  <si>
    <t>282, 113</t>
  </si>
  <si>
    <t>6, 294</t>
  </si>
  <si>
    <t>240, 34</t>
  </si>
  <si>
    <t>39, 12</t>
  </si>
  <si>
    <t>59, 63</t>
  </si>
  <si>
    <t>31, 101, 284</t>
  </si>
  <si>
    <t>72, 191, 33</t>
  </si>
  <si>
    <t>79</t>
  </si>
  <si>
    <t>29, 111, 118</t>
  </si>
  <si>
    <t>81, 11</t>
  </si>
  <si>
    <t>113</t>
  </si>
  <si>
    <t>95, 116</t>
  </si>
  <si>
    <t>91</t>
  </si>
  <si>
    <t>95</t>
  </si>
  <si>
    <t>22, 35</t>
  </si>
  <si>
    <t>260</t>
  </si>
  <si>
    <t>72, 179, 157</t>
  </si>
  <si>
    <t>44, 37</t>
  </si>
  <si>
    <t>111</t>
  </si>
  <si>
    <t>16, 60</t>
  </si>
  <si>
    <t>78, 217, 194</t>
  </si>
  <si>
    <t>212, 73</t>
  </si>
  <si>
    <t>21, 13, 223</t>
  </si>
  <si>
    <t>98, 63</t>
  </si>
  <si>
    <t>105, 113</t>
  </si>
  <si>
    <t>268, 26, 171</t>
  </si>
  <si>
    <t>101, 108</t>
  </si>
  <si>
    <t>117</t>
  </si>
  <si>
    <t>110, 312, 21</t>
  </si>
  <si>
    <t>65</t>
  </si>
  <si>
    <t>66, 165</t>
  </si>
  <si>
    <t>21, 31</t>
  </si>
  <si>
    <t>303, 91, 137</t>
  </si>
  <si>
    <t>55</t>
  </si>
  <si>
    <t>107, 56, 126</t>
  </si>
  <si>
    <t>68</t>
  </si>
  <si>
    <t>54, 194, 37</t>
  </si>
  <si>
    <t>122, 11, 105</t>
  </si>
  <si>
    <t>32, 33</t>
  </si>
  <si>
    <t>161</t>
  </si>
  <si>
    <t>58</t>
  </si>
  <si>
    <t>6, 25</t>
  </si>
  <si>
    <t>98</t>
  </si>
  <si>
    <t>33, 25</t>
  </si>
  <si>
    <t>15, 59</t>
  </si>
  <si>
    <t>78</t>
  </si>
  <si>
    <t>57</t>
  </si>
  <si>
    <t>122, 194, 144</t>
  </si>
  <si>
    <t>52, 304</t>
  </si>
  <si>
    <t>137, 195, 29</t>
  </si>
  <si>
    <t>48</t>
  </si>
  <si>
    <t>10, 48, 257</t>
  </si>
  <si>
    <t>116, 270</t>
  </si>
  <si>
    <t>50</t>
  </si>
  <si>
    <t>39, 277, 81</t>
  </si>
  <si>
    <t>133, 70, 109</t>
  </si>
  <si>
    <t>36</t>
  </si>
  <si>
    <t>253, 41</t>
  </si>
  <si>
    <t>7, 47</t>
  </si>
  <si>
    <t>177, 52</t>
  </si>
  <si>
    <t>140, 17</t>
  </si>
  <si>
    <t>158, 228, 21</t>
  </si>
  <si>
    <t>89</t>
  </si>
  <si>
    <t>24, 92, 90</t>
  </si>
  <si>
    <t>94, 39, 64</t>
  </si>
  <si>
    <t>117, 243</t>
  </si>
  <si>
    <t>97</t>
  </si>
  <si>
    <t>6, 204</t>
  </si>
  <si>
    <t>103, 99, 209</t>
  </si>
  <si>
    <t>62, 242</t>
  </si>
  <si>
    <t>160, 35, 65</t>
  </si>
  <si>
    <t>72, 292, 212</t>
  </si>
  <si>
    <t>57, 71, 160</t>
  </si>
  <si>
    <t>167, 259</t>
  </si>
  <si>
    <t>119</t>
  </si>
  <si>
    <t>64</t>
  </si>
  <si>
    <t>231, 125</t>
  </si>
  <si>
    <t>28, 51, 194</t>
  </si>
  <si>
    <t>296, 247, 105</t>
  </si>
  <si>
    <t>84, 140, 70</t>
  </si>
  <si>
    <t>14, 125</t>
  </si>
  <si>
    <t>213, 105, 242</t>
  </si>
  <si>
    <t>14, 119, 122</t>
  </si>
  <si>
    <t>233, 8</t>
  </si>
  <si>
    <t>128, 75, 49</t>
  </si>
  <si>
    <t>125, 92, 13</t>
  </si>
  <si>
    <t>116</t>
  </si>
  <si>
    <t>29, 249</t>
  </si>
  <si>
    <t>147, 231</t>
  </si>
  <si>
    <t>132, 207</t>
  </si>
  <si>
    <t>175, 157, 19</t>
  </si>
  <si>
    <t>56, 25</t>
  </si>
  <si>
    <t>12, 53</t>
  </si>
  <si>
    <t>28, 94, 204</t>
  </si>
  <si>
    <t>201</t>
  </si>
  <si>
    <t>177, 309</t>
  </si>
  <si>
    <t>139, 135</t>
  </si>
  <si>
    <t>10, 55</t>
  </si>
  <si>
    <t>19, 234</t>
  </si>
  <si>
    <t>13, 12, 40</t>
  </si>
  <si>
    <t>105, 138, 40</t>
  </si>
  <si>
    <t>24, 82</t>
  </si>
  <si>
    <t>41, 167, 18</t>
  </si>
  <si>
    <t>139, 10, 90</t>
  </si>
  <si>
    <t>14, 53, 126</t>
  </si>
  <si>
    <t>131</t>
  </si>
  <si>
    <t>65, 145</t>
  </si>
  <si>
    <t>68, 18, 217</t>
  </si>
  <si>
    <t>194, 48, 22</t>
  </si>
  <si>
    <t>23, 9</t>
  </si>
  <si>
    <t>249, 39, 85</t>
  </si>
  <si>
    <t>95, 297</t>
  </si>
  <si>
    <t>107, 99</t>
  </si>
  <si>
    <t>142, 88</t>
  </si>
  <si>
    <t>178, 146, 47</t>
  </si>
  <si>
    <t>11, 275, 140</t>
  </si>
  <si>
    <t>70</t>
  </si>
  <si>
    <t>37</t>
  </si>
  <si>
    <t>248, 116</t>
  </si>
  <si>
    <t>161, 211, 99</t>
  </si>
  <si>
    <t>246, 41, 9</t>
  </si>
  <si>
    <t>201, 110</t>
  </si>
  <si>
    <t>250, 64</t>
  </si>
  <si>
    <t>41, 74, 58</t>
  </si>
  <si>
    <t>82, 58</t>
  </si>
  <si>
    <t>75, 173, 46</t>
  </si>
  <si>
    <t>42, 132</t>
  </si>
  <si>
    <t>295, 209, 9</t>
  </si>
  <si>
    <t>82, 156</t>
  </si>
  <si>
    <t>57, 228</t>
  </si>
  <si>
    <t>66, 198</t>
  </si>
  <si>
    <t>204, 48</t>
  </si>
  <si>
    <t>320</t>
  </si>
  <si>
    <t>207</t>
  </si>
  <si>
    <t>20, 215, 110</t>
  </si>
  <si>
    <t>26, 249, 296</t>
  </si>
  <si>
    <t>33</t>
  </si>
  <si>
    <t>85</t>
  </si>
  <si>
    <t>107, 92</t>
  </si>
  <si>
    <t>59, 13, 15</t>
  </si>
  <si>
    <t>133, 107, 116</t>
  </si>
  <si>
    <t>16, 87</t>
  </si>
  <si>
    <t>7, 37</t>
  </si>
  <si>
    <t>236, 51</t>
  </si>
  <si>
    <t>15, 101, 254</t>
  </si>
  <si>
    <t>54</t>
  </si>
  <si>
    <t>22, 82, 20</t>
  </si>
  <si>
    <t>72, 70, 98</t>
  </si>
  <si>
    <t>254, 89</t>
  </si>
  <si>
    <t>49, 34</t>
  </si>
  <si>
    <t>85, 10</t>
  </si>
  <si>
    <t>129, 20, 78</t>
  </si>
  <si>
    <t>14, 69</t>
  </si>
  <si>
    <t>283, 4, 30</t>
  </si>
  <si>
    <t>64, 251, 22</t>
  </si>
  <si>
    <t>135, 19, 142</t>
  </si>
  <si>
    <t>40</t>
  </si>
  <si>
    <t>8, 299, 134</t>
  </si>
  <si>
    <t>151, 72, 165</t>
  </si>
  <si>
    <t>25, 78, 31</t>
  </si>
  <si>
    <t>20, 261, 11</t>
  </si>
  <si>
    <t>118, 47, 50</t>
  </si>
  <si>
    <t>170, 13</t>
  </si>
  <si>
    <t>158, 15</t>
  </si>
  <si>
    <t>23, 114</t>
  </si>
  <si>
    <t>35, 18, 189</t>
  </si>
  <si>
    <t>35</t>
  </si>
  <si>
    <t>29, 6, 24</t>
  </si>
  <si>
    <t>27</t>
  </si>
  <si>
    <t>17, 57</t>
  </si>
  <si>
    <t>115, 161</t>
  </si>
  <si>
    <t>95, 64, 125</t>
  </si>
  <si>
    <t>5</t>
  </si>
  <si>
    <t>10</t>
  </si>
  <si>
    <t>15</t>
  </si>
  <si>
    <t>20</t>
  </si>
  <si>
    <t>25</t>
  </si>
  <si>
    <t>26, 8</t>
  </si>
  <si>
    <t>60, 30</t>
  </si>
  <si>
    <t>7, 94, 36</t>
  </si>
  <si>
    <t>132, 26</t>
  </si>
  <si>
    <t>158, 30</t>
  </si>
  <si>
    <t>136, 74, 25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</si>
</sst>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1" xfId="0" applyFont="1" applyNumberFormat="1"/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1" xfId="0" applyAlignment="1" applyBorder="1" applyFont="1" applyNumberForma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quotePrefix="1"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2" numFmtId="1" xfId="0" applyAlignment="1" applyBorder="1" applyFont="1" applyNumberFormat="1">
      <alignment horizontal="left" vertical="bottom"/>
    </xf>
    <xf borderId="0" fillId="0" fontId="1" numFmtId="1" xfId="0" applyAlignment="1" applyFont="1" applyNumberFormat="1">
      <alignment horizontal="left"/>
    </xf>
    <xf borderId="0" fillId="0" fontId="1" numFmtId="1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4" t="s">
        <v>6</v>
      </c>
      <c r="G1" s="4" t="s">
        <v>7</v>
      </c>
      <c r="H1" s="4" t="s">
        <v>8</v>
      </c>
      <c r="I1" s="4" t="s">
        <v>3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v>0.0</v>
      </c>
      <c r="B2" s="7">
        <v>42616.0</v>
      </c>
      <c r="C2" s="7">
        <v>3.0</v>
      </c>
      <c r="D2" s="7">
        <v>45.0</v>
      </c>
      <c r="E2" s="8" t="s">
        <v>10</v>
      </c>
      <c r="F2" s="9">
        <f>IFERROR(__xludf.DUMMYFUNCTION("SPLIT(E2, "","")"),135.0)</f>
        <v>135</v>
      </c>
      <c r="G2" s="9">
        <f>IFERROR(__xludf.DUMMYFUNCTION("""COMPUTED_VALUE"""),196.0)</f>
        <v>196</v>
      </c>
      <c r="H2" s="9">
        <f>IFERROR(__xludf.DUMMYFUNCTION("""COMPUTED_VALUE"""),101.0)</f>
        <v>101</v>
      </c>
      <c r="I2" s="10">
        <f t="shared" ref="I2:I517" si="1">SUM(F2, G2, H2,)</f>
        <v>432</v>
      </c>
      <c r="J2" s="6">
        <f t="shared" ref="J2:J517" si="2">I2/B2</f>
        <v>0.01013703773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>
        <v>1.0</v>
      </c>
      <c r="B3" s="7">
        <v>7383.0</v>
      </c>
      <c r="C3" s="7">
        <v>3.0</v>
      </c>
      <c r="D3" s="7">
        <v>50.0</v>
      </c>
      <c r="E3" s="8" t="s">
        <v>11</v>
      </c>
      <c r="F3" s="9">
        <f>IFERROR(__xludf.DUMMYFUNCTION("SPLIT(E3, "","")"),25.0)</f>
        <v>25</v>
      </c>
      <c r="G3" s="10">
        <f>IFERROR(__xludf.DUMMYFUNCTION("""COMPUTED_VALUE"""),22.0)</f>
        <v>22</v>
      </c>
      <c r="H3" s="10">
        <f>IFERROR(__xludf.DUMMYFUNCTION("""COMPUTED_VALUE"""),28.0)</f>
        <v>28</v>
      </c>
      <c r="I3" s="10">
        <f t="shared" si="1"/>
        <v>75</v>
      </c>
      <c r="J3" s="6">
        <f t="shared" si="2"/>
        <v>0.01015847217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>
        <v>2.0</v>
      </c>
      <c r="B4" s="7">
        <v>15422.0</v>
      </c>
      <c r="C4" s="7">
        <v>1.0</v>
      </c>
      <c r="D4" s="7">
        <v>4.0</v>
      </c>
      <c r="E4" s="11" t="s">
        <v>12</v>
      </c>
      <c r="F4" s="9">
        <f>IFERROR(__xludf.DUMMYFUNCTION("SPLIT(E4, "","")"),172.0)</f>
        <v>172</v>
      </c>
      <c r="G4" s="10"/>
      <c r="H4" s="10"/>
      <c r="I4" s="10">
        <f t="shared" si="1"/>
        <v>172</v>
      </c>
      <c r="J4" s="6">
        <f t="shared" si="2"/>
        <v>0.01115289846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v>3.0</v>
      </c>
      <c r="B5" s="7">
        <v>17930.0</v>
      </c>
      <c r="C5" s="7">
        <v>2.0</v>
      </c>
      <c r="D5" s="7">
        <v>55.0</v>
      </c>
      <c r="E5" s="8" t="s">
        <v>13</v>
      </c>
      <c r="F5" s="9">
        <f>IFERROR(__xludf.DUMMYFUNCTION("SPLIT(E5, "","")"),57.0)</f>
        <v>57</v>
      </c>
      <c r="G5" s="10">
        <f>IFERROR(__xludf.DUMMYFUNCTION("""COMPUTED_VALUE"""),76.0)</f>
        <v>76</v>
      </c>
      <c r="H5" s="10"/>
      <c r="I5" s="10">
        <f t="shared" si="1"/>
        <v>133</v>
      </c>
      <c r="J5" s="6">
        <f t="shared" si="2"/>
        <v>0.007417735639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>
        <v>4.0</v>
      </c>
      <c r="B6" s="7">
        <v>19981.0</v>
      </c>
      <c r="C6" s="7">
        <v>3.0</v>
      </c>
      <c r="D6" s="7">
        <v>28.0</v>
      </c>
      <c r="E6" s="8" t="s">
        <v>14</v>
      </c>
      <c r="F6" s="9">
        <f>IFERROR(__xludf.DUMMYFUNCTION("SPLIT(E6, "","")"),58.0)</f>
        <v>58</v>
      </c>
      <c r="G6" s="10">
        <f>IFERROR(__xludf.DUMMYFUNCTION("""COMPUTED_VALUE"""),17.0)</f>
        <v>17</v>
      </c>
      <c r="H6" s="10">
        <f>IFERROR(__xludf.DUMMYFUNCTION("""COMPUTED_VALUE"""),169.0)</f>
        <v>169</v>
      </c>
      <c r="I6" s="10">
        <f t="shared" si="1"/>
        <v>244</v>
      </c>
      <c r="J6" s="6">
        <f t="shared" si="2"/>
        <v>0.01221160102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>
        <v>5.0</v>
      </c>
      <c r="B7" s="7">
        <v>22606.0</v>
      </c>
      <c r="C7" s="7">
        <v>2.0</v>
      </c>
      <c r="D7" s="7">
        <v>46.0</v>
      </c>
      <c r="E7" s="8" t="s">
        <v>15</v>
      </c>
      <c r="F7" s="9">
        <f>IFERROR(__xludf.DUMMYFUNCTION("SPLIT(E7, "","")"),240.0)</f>
        <v>240</v>
      </c>
      <c r="G7" s="10">
        <f>IFERROR(__xludf.DUMMYFUNCTION("""COMPUTED_VALUE"""),99.0)</f>
        <v>99</v>
      </c>
      <c r="H7" s="10"/>
      <c r="I7" s="10">
        <f t="shared" si="1"/>
        <v>339</v>
      </c>
      <c r="J7" s="6">
        <f t="shared" si="2"/>
        <v>0.01499601876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>
        <v>6.0</v>
      </c>
      <c r="B8" s="7">
        <v>26720.0</v>
      </c>
      <c r="C8" s="7">
        <v>2.0</v>
      </c>
      <c r="D8" s="7">
        <v>72.0</v>
      </c>
      <c r="E8" s="8" t="s">
        <v>16</v>
      </c>
      <c r="F8" s="9">
        <f>IFERROR(__xludf.DUMMYFUNCTION("SPLIT(E8, "","")"),89.0)</f>
        <v>89</v>
      </c>
      <c r="G8" s="10">
        <f>IFERROR(__xludf.DUMMYFUNCTION("""COMPUTED_VALUE"""),147.0)</f>
        <v>147</v>
      </c>
      <c r="H8" s="10"/>
      <c r="I8" s="10">
        <f t="shared" si="1"/>
        <v>236</v>
      </c>
      <c r="J8" s="6">
        <f t="shared" si="2"/>
        <v>0.008832335329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>
        <v>7.0</v>
      </c>
      <c r="B9" s="7">
        <v>4880.0</v>
      </c>
      <c r="C9" s="7">
        <v>1.0</v>
      </c>
      <c r="D9" s="7">
        <v>12.0</v>
      </c>
      <c r="E9" s="11" t="s">
        <v>17</v>
      </c>
      <c r="F9" s="9">
        <f>IFERROR(__xludf.DUMMYFUNCTION("SPLIT(E9, "","")"),80.0)</f>
        <v>80</v>
      </c>
      <c r="G9" s="10"/>
      <c r="H9" s="10"/>
      <c r="I9" s="10">
        <f t="shared" si="1"/>
        <v>80</v>
      </c>
      <c r="J9" s="6">
        <f t="shared" si="2"/>
        <v>0.01639344262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>
        <v>8.0</v>
      </c>
      <c r="B10" s="7">
        <v>18885.0</v>
      </c>
      <c r="C10" s="7">
        <v>3.0</v>
      </c>
      <c r="D10" s="7">
        <v>44.0</v>
      </c>
      <c r="E10" s="8" t="s">
        <v>18</v>
      </c>
      <c r="F10" s="9">
        <f>IFERROR(__xludf.DUMMYFUNCTION("SPLIT(E10, "","")"),78.0)</f>
        <v>78</v>
      </c>
      <c r="G10" s="10">
        <f>IFERROR(__xludf.DUMMYFUNCTION("""COMPUTED_VALUE"""),12.0)</f>
        <v>12</v>
      </c>
      <c r="H10" s="10">
        <f>IFERROR(__xludf.DUMMYFUNCTION("""COMPUTED_VALUE"""),105.0)</f>
        <v>105</v>
      </c>
      <c r="I10" s="10">
        <f t="shared" si="1"/>
        <v>195</v>
      </c>
      <c r="J10" s="6">
        <f t="shared" si="2"/>
        <v>0.01032565528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>
        <v>9.0</v>
      </c>
      <c r="B11" s="7">
        <v>32089.0</v>
      </c>
      <c r="C11" s="7">
        <v>2.0</v>
      </c>
      <c r="D11" s="7">
        <v>32.0</v>
      </c>
      <c r="E11" s="8" t="s">
        <v>19</v>
      </c>
      <c r="F11" s="9">
        <f>IFERROR(__xludf.DUMMYFUNCTION("SPLIT(E11, "","")"),198.0)</f>
        <v>198</v>
      </c>
      <c r="G11" s="10">
        <f>IFERROR(__xludf.DUMMYFUNCTION("""COMPUTED_VALUE"""),91.0)</f>
        <v>91</v>
      </c>
      <c r="H11" s="10"/>
      <c r="I11" s="10">
        <f t="shared" si="1"/>
        <v>289</v>
      </c>
      <c r="J11" s="6">
        <f t="shared" si="2"/>
        <v>0.009006201502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>
        <v>10.0</v>
      </c>
      <c r="B12" s="7">
        <v>19517.0</v>
      </c>
      <c r="C12" s="7">
        <v>2.0</v>
      </c>
      <c r="D12" s="7">
        <v>64.0</v>
      </c>
      <c r="E12" s="8" t="s">
        <v>20</v>
      </c>
      <c r="F12" s="9">
        <f>IFERROR(__xludf.DUMMYFUNCTION("SPLIT(E12, "","")"),63.0)</f>
        <v>63</v>
      </c>
      <c r="G12" s="10">
        <f>IFERROR(__xludf.DUMMYFUNCTION("""COMPUTED_VALUE"""),82.0)</f>
        <v>82</v>
      </c>
      <c r="H12" s="10"/>
      <c r="I12" s="10">
        <f t="shared" si="1"/>
        <v>145</v>
      </c>
      <c r="J12" s="6">
        <f t="shared" si="2"/>
        <v>0.007429420505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>
        <v>11.0</v>
      </c>
      <c r="B13" s="7">
        <v>24732.0</v>
      </c>
      <c r="C13" s="7">
        <v>3.0</v>
      </c>
      <c r="D13" s="7">
        <v>70.0</v>
      </c>
      <c r="E13" s="8" t="s">
        <v>21</v>
      </c>
      <c r="F13" s="9">
        <f>IFERROR(__xludf.DUMMYFUNCTION("SPLIT(E13, "","")"),7.0)</f>
        <v>7</v>
      </c>
      <c r="G13" s="10">
        <f>IFERROR(__xludf.DUMMYFUNCTION("""COMPUTED_VALUE"""),58.0)</f>
        <v>58</v>
      </c>
      <c r="H13" s="10">
        <f>IFERROR(__xludf.DUMMYFUNCTION("""COMPUTED_VALUE"""),216.0)</f>
        <v>216</v>
      </c>
      <c r="I13" s="10">
        <f t="shared" si="1"/>
        <v>281</v>
      </c>
      <c r="J13" s="6">
        <f t="shared" si="2"/>
        <v>0.01136179848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>
        <v>12.0</v>
      </c>
      <c r="B14" s="7">
        <v>4230.0</v>
      </c>
      <c r="C14" s="7">
        <v>1.0</v>
      </c>
      <c r="D14" s="7">
        <v>32.0</v>
      </c>
      <c r="E14" s="11" t="s">
        <v>22</v>
      </c>
      <c r="F14" s="9">
        <f>IFERROR(__xludf.DUMMYFUNCTION("SPLIT(E14, "","")"),39.0)</f>
        <v>39</v>
      </c>
      <c r="G14" s="10"/>
      <c r="H14" s="10"/>
      <c r="I14" s="10">
        <f t="shared" si="1"/>
        <v>39</v>
      </c>
      <c r="J14" s="6">
        <f t="shared" si="2"/>
        <v>0.009219858156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>
        <v>13.0</v>
      </c>
      <c r="B15" s="7">
        <v>27872.0</v>
      </c>
      <c r="C15" s="7">
        <v>3.0</v>
      </c>
      <c r="D15" s="7">
        <v>64.0</v>
      </c>
      <c r="E15" s="8" t="s">
        <v>23</v>
      </c>
      <c r="F15" s="9">
        <f>IFERROR(__xludf.DUMMYFUNCTION("SPLIT(E15, "","")"),217.0)</f>
        <v>217</v>
      </c>
      <c r="G15" s="10">
        <f>IFERROR(__xludf.DUMMYFUNCTION("""COMPUTED_VALUE"""),134.0)</f>
        <v>134</v>
      </c>
      <c r="H15" s="10">
        <f>IFERROR(__xludf.DUMMYFUNCTION("""COMPUTED_VALUE"""),11.0)</f>
        <v>11</v>
      </c>
      <c r="I15" s="10">
        <f t="shared" si="1"/>
        <v>362</v>
      </c>
      <c r="J15" s="6">
        <f t="shared" si="2"/>
        <v>0.01298794489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>
        <v>14.0</v>
      </c>
      <c r="B16" s="7">
        <v>11006.0</v>
      </c>
      <c r="C16" s="7">
        <v>2.0</v>
      </c>
      <c r="D16" s="7">
        <v>72.0</v>
      </c>
      <c r="E16" s="8" t="s">
        <v>24</v>
      </c>
      <c r="F16" s="9">
        <f>IFERROR(__xludf.DUMMYFUNCTION("SPLIT(E16, "","")"),16.0)</f>
        <v>16</v>
      </c>
      <c r="G16" s="10">
        <f>IFERROR(__xludf.DUMMYFUNCTION("""COMPUTED_VALUE"""),84.0)</f>
        <v>84</v>
      </c>
      <c r="H16" s="10"/>
      <c r="I16" s="10">
        <f t="shared" si="1"/>
        <v>100</v>
      </c>
      <c r="J16" s="6">
        <f t="shared" si="2"/>
        <v>0.009085953116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>
        <v>15.0</v>
      </c>
      <c r="B17" s="7">
        <v>16624.0</v>
      </c>
      <c r="C17" s="7">
        <v>2.0</v>
      </c>
      <c r="D17" s="7">
        <v>10.0</v>
      </c>
      <c r="E17" s="8" t="s">
        <v>25</v>
      </c>
      <c r="F17" s="9">
        <f>IFERROR(__xludf.DUMMYFUNCTION("SPLIT(E17, "","")"),28.0)</f>
        <v>28</v>
      </c>
      <c r="G17" s="10">
        <f>IFERROR(__xludf.DUMMYFUNCTION("""COMPUTED_VALUE"""),98.0)</f>
        <v>98</v>
      </c>
      <c r="H17" s="10"/>
      <c r="I17" s="10">
        <f t="shared" si="1"/>
        <v>126</v>
      </c>
      <c r="J17" s="6">
        <f t="shared" si="2"/>
        <v>0.007579403272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>
        <v>16.0</v>
      </c>
      <c r="B18" s="7">
        <v>3994.0</v>
      </c>
      <c r="C18" s="7">
        <v>1.0</v>
      </c>
      <c r="D18" s="7">
        <v>18.0</v>
      </c>
      <c r="E18" s="11" t="s">
        <v>26</v>
      </c>
      <c r="F18" s="9">
        <f>IFERROR(__xludf.DUMMYFUNCTION("SPLIT(E18, "","")"),31.0)</f>
        <v>31</v>
      </c>
      <c r="G18" s="10"/>
      <c r="H18" s="10"/>
      <c r="I18" s="10">
        <f t="shared" si="1"/>
        <v>31</v>
      </c>
      <c r="J18" s="6">
        <f t="shared" si="2"/>
        <v>0.007761642464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>
        <v>17.0</v>
      </c>
      <c r="B19" s="7">
        <v>4121.0</v>
      </c>
      <c r="C19" s="7">
        <v>2.0</v>
      </c>
      <c r="D19" s="7">
        <v>50.0</v>
      </c>
      <c r="E19" s="8" t="s">
        <v>27</v>
      </c>
      <c r="F19" s="9">
        <f>IFERROR(__xludf.DUMMYFUNCTION("SPLIT(E19, "","")"),19.0)</f>
        <v>19</v>
      </c>
      <c r="G19" s="10">
        <f>IFERROR(__xludf.DUMMYFUNCTION("""COMPUTED_VALUE"""),19.0)</f>
        <v>19</v>
      </c>
      <c r="H19" s="10"/>
      <c r="I19" s="10">
        <f t="shared" si="1"/>
        <v>38</v>
      </c>
      <c r="J19" s="6">
        <f t="shared" si="2"/>
        <v>0.009221062849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>
        <v>18.0</v>
      </c>
      <c r="B20" s="7">
        <v>12801.0</v>
      </c>
      <c r="C20" s="7">
        <v>2.0</v>
      </c>
      <c r="D20" s="7">
        <v>27.0</v>
      </c>
      <c r="E20" s="8" t="s">
        <v>28</v>
      </c>
      <c r="F20" s="9">
        <f>IFERROR(__xludf.DUMMYFUNCTION("SPLIT(E20, "","")"),136.0)</f>
        <v>136</v>
      </c>
      <c r="G20" s="10">
        <f>IFERROR(__xludf.DUMMYFUNCTION("""COMPUTED_VALUE"""),47.0)</f>
        <v>47</v>
      </c>
      <c r="H20" s="10"/>
      <c r="I20" s="10">
        <f t="shared" si="1"/>
        <v>183</v>
      </c>
      <c r="J20" s="6">
        <f t="shared" si="2"/>
        <v>0.01429575814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>
        <v>19.0</v>
      </c>
      <c r="B21" s="7">
        <v>7407.0</v>
      </c>
      <c r="C21" s="7">
        <v>2.0</v>
      </c>
      <c r="D21" s="7">
        <v>45.0</v>
      </c>
      <c r="E21" s="8" t="s">
        <v>29</v>
      </c>
      <c r="F21" s="9">
        <f>IFERROR(__xludf.DUMMYFUNCTION("SPLIT(E21, "","")"),29.0)</f>
        <v>29</v>
      </c>
      <c r="G21" s="10">
        <f>IFERROR(__xludf.DUMMYFUNCTION("""COMPUTED_VALUE"""),84.0)</f>
        <v>84</v>
      </c>
      <c r="H21" s="10"/>
      <c r="I21" s="10">
        <f t="shared" si="1"/>
        <v>113</v>
      </c>
      <c r="J21" s="6">
        <f t="shared" si="2"/>
        <v>0.01525583907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>
        <v>20.0</v>
      </c>
      <c r="B22" s="7">
        <v>14734.0</v>
      </c>
      <c r="C22" s="7">
        <v>1.0</v>
      </c>
      <c r="D22" s="7">
        <v>4.0</v>
      </c>
      <c r="E22" s="11" t="s">
        <v>30</v>
      </c>
      <c r="F22" s="9">
        <f>IFERROR(__xludf.DUMMYFUNCTION("SPLIT(E22, "","")"),148.0)</f>
        <v>148</v>
      </c>
      <c r="G22" s="10"/>
      <c r="H22" s="10"/>
      <c r="I22" s="10">
        <f t="shared" si="1"/>
        <v>148</v>
      </c>
      <c r="J22" s="6">
        <f t="shared" si="2"/>
        <v>0.01004479435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>
        <v>21.0</v>
      </c>
      <c r="B23" s="7">
        <v>22961.0</v>
      </c>
      <c r="C23" s="7">
        <v>3.0</v>
      </c>
      <c r="D23" s="7">
        <v>12.0</v>
      </c>
      <c r="E23" s="8" t="s">
        <v>31</v>
      </c>
      <c r="F23" s="9">
        <f>IFERROR(__xludf.DUMMYFUNCTION("SPLIT(E23, "","")"),37.0)</f>
        <v>37</v>
      </c>
      <c r="G23" s="10">
        <f>IFERROR(__xludf.DUMMYFUNCTION("""COMPUTED_VALUE"""),101.0)</f>
        <v>101</v>
      </c>
      <c r="H23" s="10">
        <f>IFERROR(__xludf.DUMMYFUNCTION("""COMPUTED_VALUE"""),38.0)</f>
        <v>38</v>
      </c>
      <c r="I23" s="10">
        <f t="shared" si="1"/>
        <v>176</v>
      </c>
      <c r="J23" s="6">
        <f t="shared" si="2"/>
        <v>0.007665171378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>
        <v>22.0</v>
      </c>
      <c r="B24" s="7">
        <v>19768.0</v>
      </c>
      <c r="C24" s="7">
        <v>2.0</v>
      </c>
      <c r="D24" s="7">
        <v>69.0</v>
      </c>
      <c r="E24" s="8" t="s">
        <v>32</v>
      </c>
      <c r="F24" s="9">
        <f>IFERROR(__xludf.DUMMYFUNCTION("SPLIT(E24, "","")"),105.0)</f>
        <v>105</v>
      </c>
      <c r="G24" s="10">
        <f>IFERROR(__xludf.DUMMYFUNCTION("""COMPUTED_VALUE"""),82.0)</f>
        <v>82</v>
      </c>
      <c r="H24" s="10"/>
      <c r="I24" s="10">
        <f t="shared" si="1"/>
        <v>187</v>
      </c>
      <c r="J24" s="6">
        <f t="shared" si="2"/>
        <v>0.009459732902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>
        <v>23.0</v>
      </c>
      <c r="B25" s="7">
        <v>15964.0</v>
      </c>
      <c r="C25" s="7">
        <v>3.0</v>
      </c>
      <c r="D25" s="7">
        <v>72.0</v>
      </c>
      <c r="E25" s="8" t="s">
        <v>33</v>
      </c>
      <c r="F25" s="9">
        <f>IFERROR(__xludf.DUMMYFUNCTION("SPLIT(E25, "","")"),38.0)</f>
        <v>38</v>
      </c>
      <c r="G25" s="10">
        <f>IFERROR(__xludf.DUMMYFUNCTION("""COMPUTED_VALUE"""),67.0)</f>
        <v>67</v>
      </c>
      <c r="H25" s="10">
        <f>IFERROR(__xludf.DUMMYFUNCTION("""COMPUTED_VALUE"""),78.0)</f>
        <v>78</v>
      </c>
      <c r="I25" s="10">
        <f t="shared" si="1"/>
        <v>183</v>
      </c>
      <c r="J25" s="6">
        <f t="shared" si="2"/>
        <v>0.01146329241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>
        <v>24.0</v>
      </c>
      <c r="B26" s="7">
        <v>7607.0</v>
      </c>
      <c r="C26" s="7">
        <v>2.0</v>
      </c>
      <c r="D26" s="7">
        <v>44.0</v>
      </c>
      <c r="E26" s="8" t="s">
        <v>34</v>
      </c>
      <c r="F26" s="9">
        <f>IFERROR(__xludf.DUMMYFUNCTION("SPLIT(E26, "","")"),26.0)</f>
        <v>26</v>
      </c>
      <c r="G26" s="10">
        <f>IFERROR(__xludf.DUMMYFUNCTION("""COMPUTED_VALUE"""),80.0)</f>
        <v>80</v>
      </c>
      <c r="H26" s="10"/>
      <c r="I26" s="10">
        <f t="shared" si="1"/>
        <v>106</v>
      </c>
      <c r="J26" s="6">
        <f t="shared" si="2"/>
        <v>0.01393453398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>
        <v>25.0</v>
      </c>
      <c r="B27" s="7">
        <v>11858.0</v>
      </c>
      <c r="C27" s="7">
        <v>3.0</v>
      </c>
      <c r="D27" s="7">
        <v>65.0</v>
      </c>
      <c r="E27" s="8" t="s">
        <v>35</v>
      </c>
      <c r="F27" s="9">
        <f>IFERROR(__xludf.DUMMYFUNCTION("SPLIT(E27, "","")"),69.0)</f>
        <v>69</v>
      </c>
      <c r="G27" s="10">
        <f>IFERROR(__xludf.DUMMYFUNCTION("""COMPUTED_VALUE"""),29.0)</f>
        <v>29</v>
      </c>
      <c r="H27" s="10">
        <f>IFERROR(__xludf.DUMMYFUNCTION("""COMPUTED_VALUE"""),92.0)</f>
        <v>92</v>
      </c>
      <c r="I27" s="10">
        <f t="shared" si="1"/>
        <v>190</v>
      </c>
      <c r="J27" s="6">
        <f t="shared" si="2"/>
        <v>0.0160229381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>
        <v>26.0</v>
      </c>
      <c r="B28" s="7">
        <v>10316.0</v>
      </c>
      <c r="C28" s="7">
        <v>1.0</v>
      </c>
      <c r="D28" s="7">
        <v>25.0</v>
      </c>
      <c r="E28" s="11" t="s">
        <v>36</v>
      </c>
      <c r="F28" s="9">
        <f>IFERROR(__xludf.DUMMYFUNCTION("SPLIT(E28, "","")"),168.0)</f>
        <v>168</v>
      </c>
      <c r="G28" s="10"/>
      <c r="H28" s="10"/>
      <c r="I28" s="10">
        <f t="shared" si="1"/>
        <v>168</v>
      </c>
      <c r="J28" s="6">
        <f t="shared" si="2"/>
        <v>0.01628538193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>
        <v>27.0</v>
      </c>
      <c r="B29" s="7">
        <v>13764.0</v>
      </c>
      <c r="C29" s="7">
        <v>3.0</v>
      </c>
      <c r="D29" s="7">
        <v>42.0</v>
      </c>
      <c r="E29" s="11" t="s">
        <v>37</v>
      </c>
      <c r="F29" s="9">
        <f>IFERROR(__xludf.DUMMYFUNCTION("SPLIT(E29, "","")"),11.0)</f>
        <v>11</v>
      </c>
      <c r="G29" s="10">
        <f>IFERROR(__xludf.DUMMYFUNCTION("""COMPUTED_VALUE"""),8.0)</f>
        <v>8</v>
      </c>
      <c r="H29" s="10">
        <f>IFERROR(__xludf.DUMMYFUNCTION("""COMPUTED_VALUE"""),227.0)</f>
        <v>227</v>
      </c>
      <c r="I29" s="10">
        <f t="shared" si="1"/>
        <v>246</v>
      </c>
      <c r="J29" s="6">
        <f t="shared" si="2"/>
        <v>0.01787271142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>
        <v>28.0</v>
      </c>
      <c r="B30" s="7">
        <v>8155.0</v>
      </c>
      <c r="C30" s="7">
        <v>2.0</v>
      </c>
      <c r="D30" s="7">
        <v>27.0</v>
      </c>
      <c r="E30" s="8" t="s">
        <v>38</v>
      </c>
      <c r="F30" s="9">
        <f>IFERROR(__xludf.DUMMYFUNCTION("SPLIT(E30, "","")"),11.0)</f>
        <v>11</v>
      </c>
      <c r="G30" s="10">
        <f>IFERROR(__xludf.DUMMYFUNCTION("""COMPUTED_VALUE"""),120.0)</f>
        <v>120</v>
      </c>
      <c r="H30" s="10"/>
      <c r="I30" s="10">
        <f t="shared" si="1"/>
        <v>131</v>
      </c>
      <c r="J30" s="6">
        <f t="shared" si="2"/>
        <v>0.01606376456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>
        <v>29.0</v>
      </c>
      <c r="B31" s="7">
        <v>30897.0</v>
      </c>
      <c r="C31" s="7">
        <v>2.0</v>
      </c>
      <c r="D31" s="7">
        <v>60.0</v>
      </c>
      <c r="E31" s="8" t="s">
        <v>39</v>
      </c>
      <c r="F31" s="9">
        <f>IFERROR(__xludf.DUMMYFUNCTION("SPLIT(E31, "","")"),128.0)</f>
        <v>128</v>
      </c>
      <c r="G31" s="10">
        <f>IFERROR(__xludf.DUMMYFUNCTION("""COMPUTED_VALUE"""),170.0)</f>
        <v>170</v>
      </c>
      <c r="H31" s="10"/>
      <c r="I31" s="10">
        <f t="shared" si="1"/>
        <v>298</v>
      </c>
      <c r="J31" s="6">
        <f t="shared" si="2"/>
        <v>0.009644949348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>
        <v>30.0</v>
      </c>
      <c r="B32" s="7">
        <v>11757.0</v>
      </c>
      <c r="C32" s="7">
        <v>1.0</v>
      </c>
      <c r="D32" s="7">
        <v>52.0</v>
      </c>
      <c r="E32" s="11" t="s">
        <v>40</v>
      </c>
      <c r="F32" s="9">
        <f>IFERROR(__xludf.DUMMYFUNCTION("SPLIT(E32, "","")"),187.0)</f>
        <v>187</v>
      </c>
      <c r="G32" s="10"/>
      <c r="H32" s="10"/>
      <c r="I32" s="10">
        <f t="shared" si="1"/>
        <v>187</v>
      </c>
      <c r="J32" s="6">
        <f t="shared" si="2"/>
        <v>0.01590541805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>
        <v>31.0</v>
      </c>
      <c r="B33" s="7">
        <v>15761.0</v>
      </c>
      <c r="C33" s="7">
        <v>1.0</v>
      </c>
      <c r="D33" s="7">
        <v>12.0</v>
      </c>
      <c r="E33" s="11" t="s">
        <v>41</v>
      </c>
      <c r="F33" s="9">
        <f>IFERROR(__xludf.DUMMYFUNCTION("SPLIT(E33, "","")"),154.0)</f>
        <v>154</v>
      </c>
      <c r="G33" s="10"/>
      <c r="H33" s="10"/>
      <c r="I33" s="10">
        <f t="shared" si="1"/>
        <v>154</v>
      </c>
      <c r="J33" s="6">
        <f t="shared" si="2"/>
        <v>0.00977095362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>
        <v>32.0</v>
      </c>
      <c r="B34" s="7">
        <v>19358.0</v>
      </c>
      <c r="C34" s="7">
        <v>2.0</v>
      </c>
      <c r="D34" s="7">
        <v>56.0</v>
      </c>
      <c r="E34" s="8" t="s">
        <v>42</v>
      </c>
      <c r="F34" s="9">
        <f>IFERROR(__xludf.DUMMYFUNCTION("SPLIT(E34, "","")"),40.0)</f>
        <v>40</v>
      </c>
      <c r="G34" s="10">
        <f>IFERROR(__xludf.DUMMYFUNCTION("""COMPUTED_VALUE"""),158.0)</f>
        <v>158</v>
      </c>
      <c r="H34" s="10"/>
      <c r="I34" s="10">
        <f t="shared" si="1"/>
        <v>198</v>
      </c>
      <c r="J34" s="6">
        <f t="shared" si="2"/>
        <v>0.01022832937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7">
        <v>33.0</v>
      </c>
      <c r="B35" s="7">
        <v>25187.0</v>
      </c>
      <c r="C35" s="7">
        <v>3.0</v>
      </c>
      <c r="D35" s="7">
        <v>12.0</v>
      </c>
      <c r="E35" s="8" t="s">
        <v>43</v>
      </c>
      <c r="F35" s="9">
        <f>IFERROR(__xludf.DUMMYFUNCTION("SPLIT(E35, "","")"),90.0)</f>
        <v>90</v>
      </c>
      <c r="G35" s="10">
        <f>IFERROR(__xludf.DUMMYFUNCTION("""COMPUTED_VALUE"""),77.0)</f>
        <v>77</v>
      </c>
      <c r="H35" s="10">
        <f>IFERROR(__xludf.DUMMYFUNCTION("""COMPUTED_VALUE"""),173.0)</f>
        <v>173</v>
      </c>
      <c r="I35" s="10">
        <f t="shared" si="1"/>
        <v>340</v>
      </c>
      <c r="J35" s="6">
        <f t="shared" si="2"/>
        <v>0.01349902728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7">
        <v>34.0</v>
      </c>
      <c r="B36" s="7">
        <v>16662.0</v>
      </c>
      <c r="C36" s="7">
        <v>3.0</v>
      </c>
      <c r="D36" s="7">
        <v>18.0</v>
      </c>
      <c r="E36" s="8" t="s">
        <v>44</v>
      </c>
      <c r="F36" s="9">
        <f>IFERROR(__xludf.DUMMYFUNCTION("SPLIT(E36, "","")"),242.0)</f>
        <v>242</v>
      </c>
      <c r="G36" s="10">
        <f>IFERROR(__xludf.DUMMYFUNCTION("""COMPUTED_VALUE"""),13.0)</f>
        <v>13</v>
      </c>
      <c r="H36" s="10">
        <f>IFERROR(__xludf.DUMMYFUNCTION("""COMPUTED_VALUE"""),30.0)</f>
        <v>30</v>
      </c>
      <c r="I36" s="10">
        <f t="shared" si="1"/>
        <v>285</v>
      </c>
      <c r="J36" s="6">
        <f t="shared" si="2"/>
        <v>0.01710478934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>
        <v>35.0</v>
      </c>
      <c r="B37" s="7">
        <v>28774.0</v>
      </c>
      <c r="C37" s="7">
        <v>3.0</v>
      </c>
      <c r="D37" s="7">
        <v>30.0</v>
      </c>
      <c r="E37" s="8" t="s">
        <v>45</v>
      </c>
      <c r="F37" s="9">
        <f>IFERROR(__xludf.DUMMYFUNCTION("SPLIT(E37, "","")"),164.0)</f>
        <v>164</v>
      </c>
      <c r="G37" s="10">
        <f>IFERROR(__xludf.DUMMYFUNCTION("""COMPUTED_VALUE"""),128.0)</f>
        <v>128</v>
      </c>
      <c r="H37" s="10">
        <f>IFERROR(__xludf.DUMMYFUNCTION("""COMPUTED_VALUE"""),84.0)</f>
        <v>84</v>
      </c>
      <c r="I37" s="10">
        <f t="shared" si="1"/>
        <v>376</v>
      </c>
      <c r="J37" s="6">
        <f t="shared" si="2"/>
        <v>0.01306735247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>
        <v>36.0</v>
      </c>
      <c r="B38" s="7">
        <v>4481.0</v>
      </c>
      <c r="C38" s="7">
        <v>1.0</v>
      </c>
      <c r="D38" s="7">
        <v>48.0</v>
      </c>
      <c r="E38" s="11" t="s">
        <v>46</v>
      </c>
      <c r="F38" s="9">
        <f>IFERROR(__xludf.DUMMYFUNCTION("SPLIT(E38, "","")"),60.0)</f>
        <v>60</v>
      </c>
      <c r="G38" s="10"/>
      <c r="H38" s="10"/>
      <c r="I38" s="10">
        <f t="shared" si="1"/>
        <v>60</v>
      </c>
      <c r="J38" s="6">
        <f t="shared" si="2"/>
        <v>0.01338986833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>
        <v>37.0</v>
      </c>
      <c r="B39" s="7">
        <v>6674.0</v>
      </c>
      <c r="C39" s="7">
        <v>1.0</v>
      </c>
      <c r="D39" s="7">
        <v>70.0</v>
      </c>
      <c r="E39" s="11" t="s">
        <v>47</v>
      </c>
      <c r="F39" s="9">
        <f>IFERROR(__xludf.DUMMYFUNCTION("SPLIT(E39, "","")"),75.0)</f>
        <v>75</v>
      </c>
      <c r="G39" s="10"/>
      <c r="H39" s="10"/>
      <c r="I39" s="10">
        <f t="shared" si="1"/>
        <v>75</v>
      </c>
      <c r="J39" s="6">
        <f t="shared" si="2"/>
        <v>0.0112376386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>
        <v>38.0</v>
      </c>
      <c r="B40" s="7">
        <v>15114.0</v>
      </c>
      <c r="C40" s="7">
        <v>1.0</v>
      </c>
      <c r="D40" s="7">
        <v>56.0</v>
      </c>
      <c r="E40" s="11" t="s">
        <v>48</v>
      </c>
      <c r="F40" s="9">
        <f>IFERROR(__xludf.DUMMYFUNCTION("SPLIT(E40, "","")"),271.0)</f>
        <v>271</v>
      </c>
      <c r="G40" s="10"/>
      <c r="H40" s="10"/>
      <c r="I40" s="10">
        <f t="shared" si="1"/>
        <v>271</v>
      </c>
      <c r="J40" s="6">
        <f t="shared" si="2"/>
        <v>0.01793039566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>
        <v>39.0</v>
      </c>
      <c r="B41" s="7">
        <v>14271.0</v>
      </c>
      <c r="C41" s="7">
        <v>2.0</v>
      </c>
      <c r="D41" s="7">
        <v>30.0</v>
      </c>
      <c r="E41" s="8" t="s">
        <v>49</v>
      </c>
      <c r="F41" s="9">
        <f>IFERROR(__xludf.DUMMYFUNCTION("SPLIT(E41, "","")"),73.0)</f>
        <v>73</v>
      </c>
      <c r="G41" s="10">
        <f>IFERROR(__xludf.DUMMYFUNCTION("""COMPUTED_VALUE"""),129.0)</f>
        <v>129</v>
      </c>
      <c r="H41" s="10"/>
      <c r="I41" s="10">
        <f t="shared" si="1"/>
        <v>202</v>
      </c>
      <c r="J41" s="6">
        <f t="shared" si="2"/>
        <v>0.01415457922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>
        <v>40.0</v>
      </c>
      <c r="B42" s="7">
        <v>8456.0</v>
      </c>
      <c r="C42" s="7">
        <v>2.0</v>
      </c>
      <c r="D42" s="7">
        <v>45.0</v>
      </c>
      <c r="E42" s="8" t="s">
        <v>50</v>
      </c>
      <c r="F42" s="9">
        <f>IFERROR(__xludf.DUMMYFUNCTION("SPLIT(E42, "","")"),48.0)</f>
        <v>48</v>
      </c>
      <c r="G42" s="10">
        <f>IFERROR(__xludf.DUMMYFUNCTION("""COMPUTED_VALUE"""),19.0)</f>
        <v>19</v>
      </c>
      <c r="H42" s="10"/>
      <c r="I42" s="10">
        <f t="shared" si="1"/>
        <v>67</v>
      </c>
      <c r="J42" s="6">
        <f t="shared" si="2"/>
        <v>0.007923368023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>
        <v>41.0</v>
      </c>
      <c r="B43" s="7">
        <v>13248.0</v>
      </c>
      <c r="C43" s="7">
        <v>3.0</v>
      </c>
      <c r="D43" s="7">
        <v>36.0</v>
      </c>
      <c r="E43" s="8" t="s">
        <v>51</v>
      </c>
      <c r="F43" s="9">
        <f>IFERROR(__xludf.DUMMYFUNCTION("SPLIT(E43, "","")"),49.0)</f>
        <v>49</v>
      </c>
      <c r="G43" s="10">
        <f>IFERROR(__xludf.DUMMYFUNCTION("""COMPUTED_VALUE"""),50.0)</f>
        <v>50</v>
      </c>
      <c r="H43" s="10">
        <f>IFERROR(__xludf.DUMMYFUNCTION("""COMPUTED_VALUE"""),24.0)</f>
        <v>24</v>
      </c>
      <c r="I43" s="10">
        <f t="shared" si="1"/>
        <v>123</v>
      </c>
      <c r="J43" s="12">
        <f t="shared" si="2"/>
        <v>0.00928442029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>
        <v>42.0</v>
      </c>
      <c r="B44" s="7">
        <v>6691.0</v>
      </c>
      <c r="C44" s="7">
        <v>1.0</v>
      </c>
      <c r="D44" s="7">
        <v>63.0</v>
      </c>
      <c r="E44" s="11" t="s">
        <v>52</v>
      </c>
      <c r="F44" s="9">
        <f>IFERROR(__xludf.DUMMYFUNCTION("SPLIT(E44, "","")"),45.0)</f>
        <v>45</v>
      </c>
      <c r="G44" s="10"/>
      <c r="H44" s="10"/>
      <c r="I44" s="10">
        <f t="shared" si="1"/>
        <v>45</v>
      </c>
      <c r="J44" s="12">
        <f t="shared" si="2"/>
        <v>0.0067254521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>
        <v>43.0</v>
      </c>
      <c r="B45" s="7">
        <v>26330.0</v>
      </c>
      <c r="C45" s="7">
        <v>3.0</v>
      </c>
      <c r="D45" s="7">
        <v>64.0</v>
      </c>
      <c r="E45" s="8" t="s">
        <v>53</v>
      </c>
      <c r="F45" s="9">
        <f>IFERROR(__xludf.DUMMYFUNCTION("SPLIT(E45, "","")"),22.0)</f>
        <v>22</v>
      </c>
      <c r="G45" s="10">
        <f>IFERROR(__xludf.DUMMYFUNCTION("""COMPUTED_VALUE"""),145.0)</f>
        <v>145</v>
      </c>
      <c r="H45" s="10">
        <f>IFERROR(__xludf.DUMMYFUNCTION("""COMPUTED_VALUE"""),138.0)</f>
        <v>138</v>
      </c>
      <c r="I45" s="10">
        <f t="shared" si="1"/>
        <v>305</v>
      </c>
      <c r="J45" s="6">
        <f t="shared" si="2"/>
        <v>0.01158374478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>
        <v>44.0</v>
      </c>
      <c r="B46" s="7">
        <v>13752.0</v>
      </c>
      <c r="C46" s="7">
        <v>2.0</v>
      </c>
      <c r="D46" s="7">
        <v>54.0</v>
      </c>
      <c r="E46" s="8" t="s">
        <v>54</v>
      </c>
      <c r="F46" s="9">
        <f>IFERROR(__xludf.DUMMYFUNCTION("SPLIT(E46, "","")"),61.0)</f>
        <v>61</v>
      </c>
      <c r="G46" s="10">
        <f>IFERROR(__xludf.DUMMYFUNCTION("""COMPUTED_VALUE"""),149.0)</f>
        <v>149</v>
      </c>
      <c r="H46" s="10"/>
      <c r="I46" s="10">
        <f t="shared" si="1"/>
        <v>210</v>
      </c>
      <c r="J46" s="6">
        <f t="shared" si="2"/>
        <v>0.01527050611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>
        <v>45.0</v>
      </c>
      <c r="B47" s="7">
        <v>6036.0</v>
      </c>
      <c r="C47" s="7">
        <v>3.0</v>
      </c>
      <c r="D47" s="7">
        <v>51.0</v>
      </c>
      <c r="E47" s="8" t="s">
        <v>55</v>
      </c>
      <c r="F47" s="9">
        <f>IFERROR(__xludf.DUMMYFUNCTION("SPLIT(E47, "","")"),37.0)</f>
        <v>37</v>
      </c>
      <c r="G47" s="10">
        <f>IFERROR(__xludf.DUMMYFUNCTION("""COMPUTED_VALUE"""),16.0)</f>
        <v>16</v>
      </c>
      <c r="H47" s="10">
        <f>IFERROR(__xludf.DUMMYFUNCTION("""COMPUTED_VALUE"""),13.0)</f>
        <v>13</v>
      </c>
      <c r="I47" s="10">
        <f t="shared" si="1"/>
        <v>66</v>
      </c>
      <c r="J47" s="6">
        <f t="shared" si="2"/>
        <v>0.01093439364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>
        <v>46.0</v>
      </c>
      <c r="B48" s="7">
        <v>19137.0</v>
      </c>
      <c r="C48" s="7">
        <v>3.0</v>
      </c>
      <c r="D48" s="7">
        <v>66.0</v>
      </c>
      <c r="E48" s="8" t="s">
        <v>56</v>
      </c>
      <c r="F48" s="9">
        <f>IFERROR(__xludf.DUMMYFUNCTION("SPLIT(E48, "","")"),64.0)</f>
        <v>64</v>
      </c>
      <c r="G48" s="10">
        <f>IFERROR(__xludf.DUMMYFUNCTION("""COMPUTED_VALUE"""),62.0)</f>
        <v>62</v>
      </c>
      <c r="H48" s="10">
        <f>IFERROR(__xludf.DUMMYFUNCTION("""COMPUTED_VALUE"""),127.0)</f>
        <v>127</v>
      </c>
      <c r="I48" s="10">
        <f t="shared" si="1"/>
        <v>253</v>
      </c>
      <c r="J48" s="6">
        <f t="shared" si="2"/>
        <v>0.01322046298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>
        <v>47.0</v>
      </c>
      <c r="B49" s="7">
        <v>16904.0</v>
      </c>
      <c r="C49" s="7">
        <v>2.0</v>
      </c>
      <c r="D49" s="7">
        <v>24.0</v>
      </c>
      <c r="E49" s="8" t="s">
        <v>57</v>
      </c>
      <c r="F49" s="9">
        <f>IFERROR(__xludf.DUMMYFUNCTION("SPLIT(E49, "","")"),59.0)</f>
        <v>59</v>
      </c>
      <c r="G49" s="10">
        <f>IFERROR(__xludf.DUMMYFUNCTION("""COMPUTED_VALUE"""),32.0)</f>
        <v>32</v>
      </c>
      <c r="H49" s="10"/>
      <c r="I49" s="10">
        <f t="shared" si="1"/>
        <v>91</v>
      </c>
      <c r="J49" s="6">
        <f t="shared" si="2"/>
        <v>0.005383341221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>
        <v>48.0</v>
      </c>
      <c r="B50" s="7">
        <v>4229.0</v>
      </c>
      <c r="C50" s="7">
        <v>1.0</v>
      </c>
      <c r="D50" s="7">
        <v>32.0</v>
      </c>
      <c r="E50" s="11" t="s">
        <v>58</v>
      </c>
      <c r="F50" s="9">
        <f>IFERROR(__xludf.DUMMYFUNCTION("SPLIT(E50, "","")"),21.0)</f>
        <v>21</v>
      </c>
      <c r="G50" s="10"/>
      <c r="H50" s="10"/>
      <c r="I50" s="10">
        <f t="shared" si="1"/>
        <v>21</v>
      </c>
      <c r="J50" s="12">
        <f t="shared" si="2"/>
        <v>0.004965712934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>
        <v>49.0</v>
      </c>
      <c r="B51" s="7">
        <v>6888.0</v>
      </c>
      <c r="C51" s="7">
        <v>1.0</v>
      </c>
      <c r="D51" s="7">
        <v>24.0</v>
      </c>
      <c r="E51" s="11" t="s">
        <v>59</v>
      </c>
      <c r="F51" s="9">
        <f>IFERROR(__xludf.DUMMYFUNCTION("SPLIT(E51, "","")"),135.0)</f>
        <v>135</v>
      </c>
      <c r="G51" s="10"/>
      <c r="H51" s="10"/>
      <c r="I51" s="10">
        <f t="shared" si="1"/>
        <v>135</v>
      </c>
      <c r="J51" s="6">
        <f t="shared" si="2"/>
        <v>0.01959930314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>
        <v>50.0</v>
      </c>
      <c r="B52" s="7">
        <v>24268.0</v>
      </c>
      <c r="C52" s="7">
        <v>3.0</v>
      </c>
      <c r="D52" s="7">
        <v>63.0</v>
      </c>
      <c r="E52" s="8" t="s">
        <v>60</v>
      </c>
      <c r="F52" s="9">
        <f>IFERROR(__xludf.DUMMYFUNCTION("SPLIT(E52, "","")"),11.0)</f>
        <v>11</v>
      </c>
      <c r="G52" s="10">
        <f>IFERROR(__xludf.DUMMYFUNCTION("""COMPUTED_VALUE"""),192.0)</f>
        <v>192</v>
      </c>
      <c r="H52" s="10">
        <f>IFERROR(__xludf.DUMMYFUNCTION("""COMPUTED_VALUE"""),154.0)</f>
        <v>154</v>
      </c>
      <c r="I52" s="10">
        <f t="shared" si="1"/>
        <v>357</v>
      </c>
      <c r="J52" s="6">
        <f t="shared" si="2"/>
        <v>0.01471073018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>
        <v>51.0</v>
      </c>
      <c r="B53" s="7">
        <v>24253.0</v>
      </c>
      <c r="C53" s="7">
        <v>2.0</v>
      </c>
      <c r="D53" s="7">
        <v>30.0</v>
      </c>
      <c r="E53" s="8" t="s">
        <v>61</v>
      </c>
      <c r="F53" s="9">
        <f>IFERROR(__xludf.DUMMYFUNCTION("SPLIT(E53, "","")"),135.0)</f>
        <v>135</v>
      </c>
      <c r="G53" s="10">
        <f>IFERROR(__xludf.DUMMYFUNCTION("""COMPUTED_VALUE"""),239.0)</f>
        <v>239</v>
      </c>
      <c r="H53" s="10"/>
      <c r="I53" s="10">
        <f t="shared" si="1"/>
        <v>374</v>
      </c>
      <c r="J53" s="6">
        <f t="shared" si="2"/>
        <v>0.01542077269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>
        <v>52.0</v>
      </c>
      <c r="B54" s="7">
        <v>31119.0</v>
      </c>
      <c r="C54" s="7">
        <v>3.0</v>
      </c>
      <c r="D54" s="7">
        <v>56.0</v>
      </c>
      <c r="E54" s="8" t="s">
        <v>62</v>
      </c>
      <c r="F54" s="9">
        <f>IFERROR(__xludf.DUMMYFUNCTION("SPLIT(E54, "","")"),12.0)</f>
        <v>12</v>
      </c>
      <c r="G54" s="10">
        <f>IFERROR(__xludf.DUMMYFUNCTION("""COMPUTED_VALUE"""),88.0)</f>
        <v>88</v>
      </c>
      <c r="H54" s="10">
        <f>IFERROR(__xludf.DUMMYFUNCTION("""COMPUTED_VALUE"""),176.0)</f>
        <v>176</v>
      </c>
      <c r="I54" s="10">
        <f t="shared" si="1"/>
        <v>276</v>
      </c>
      <c r="J54" s="6">
        <f t="shared" si="2"/>
        <v>0.008869179601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>
        <v>53.0</v>
      </c>
      <c r="B55" s="7">
        <v>24207.0</v>
      </c>
      <c r="C55" s="7">
        <v>3.0</v>
      </c>
      <c r="D55" s="7">
        <v>16.0</v>
      </c>
      <c r="E55" s="8" t="s">
        <v>63</v>
      </c>
      <c r="F55" s="9">
        <f>IFERROR(__xludf.DUMMYFUNCTION("SPLIT(E55, "","")"),321.0)</f>
        <v>321</v>
      </c>
      <c r="G55" s="10">
        <f>IFERROR(__xludf.DUMMYFUNCTION("""COMPUTED_VALUE"""),28.0)</f>
        <v>28</v>
      </c>
      <c r="H55" s="10">
        <f>IFERROR(__xludf.DUMMYFUNCTION("""COMPUTED_VALUE"""),87.0)</f>
        <v>87</v>
      </c>
      <c r="I55" s="10">
        <f t="shared" si="1"/>
        <v>436</v>
      </c>
      <c r="J55" s="6">
        <f t="shared" si="2"/>
        <v>0.01801131904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>
        <v>54.0</v>
      </c>
      <c r="B56" s="7">
        <v>21699.0</v>
      </c>
      <c r="C56" s="7">
        <v>2.0</v>
      </c>
      <c r="D56" s="7">
        <v>30.0</v>
      </c>
      <c r="E56" s="8" t="s">
        <v>64</v>
      </c>
      <c r="F56" s="9">
        <f>IFERROR(__xludf.DUMMYFUNCTION("SPLIT(E56, "","")"),163.0)</f>
        <v>163</v>
      </c>
      <c r="G56" s="10">
        <f>IFERROR(__xludf.DUMMYFUNCTION("""COMPUTED_VALUE"""),56.0)</f>
        <v>56</v>
      </c>
      <c r="H56" s="10"/>
      <c r="I56" s="10">
        <f t="shared" si="1"/>
        <v>219</v>
      </c>
      <c r="J56" s="6">
        <f t="shared" si="2"/>
        <v>0.010092631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>
        <v>55.0</v>
      </c>
      <c r="B57" s="7">
        <v>25610.0</v>
      </c>
      <c r="C57" s="7">
        <v>2.0</v>
      </c>
      <c r="D57" s="7">
        <v>16.0</v>
      </c>
      <c r="E57" s="8" t="s">
        <v>65</v>
      </c>
      <c r="F57" s="9">
        <f>IFERROR(__xludf.DUMMYFUNCTION("SPLIT(E57, "","")"),84.0)</f>
        <v>84</v>
      </c>
      <c r="G57" s="10">
        <f>IFERROR(__xludf.DUMMYFUNCTION("""COMPUTED_VALUE"""),185.0)</f>
        <v>185</v>
      </c>
      <c r="H57" s="10"/>
      <c r="I57" s="10">
        <f t="shared" si="1"/>
        <v>269</v>
      </c>
      <c r="J57" s="6">
        <f t="shared" si="2"/>
        <v>0.01050370949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>
        <v>56.0</v>
      </c>
      <c r="B58" s="7">
        <v>33074.0</v>
      </c>
      <c r="C58" s="7">
        <v>3.0</v>
      </c>
      <c r="D58" s="7">
        <v>30.0</v>
      </c>
      <c r="E58" s="8" t="s">
        <v>66</v>
      </c>
      <c r="F58" s="9">
        <f>IFERROR(__xludf.DUMMYFUNCTION("SPLIT(E58, "","")"),148.0)</f>
        <v>148</v>
      </c>
      <c r="G58" s="10">
        <f>IFERROR(__xludf.DUMMYFUNCTION("""COMPUTED_VALUE"""),66.0)</f>
        <v>66</v>
      </c>
      <c r="H58" s="10">
        <f>IFERROR(__xludf.DUMMYFUNCTION("""COMPUTED_VALUE"""),133.0)</f>
        <v>133</v>
      </c>
      <c r="I58" s="10">
        <f t="shared" si="1"/>
        <v>347</v>
      </c>
      <c r="J58" s="6">
        <f t="shared" si="2"/>
        <v>0.01049162484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>
        <v>57.0</v>
      </c>
      <c r="B59" s="7">
        <v>15366.0</v>
      </c>
      <c r="C59" s="7">
        <v>1.0</v>
      </c>
      <c r="D59" s="7">
        <v>60.0</v>
      </c>
      <c r="E59" s="11" t="s">
        <v>67</v>
      </c>
      <c r="F59" s="9">
        <f>IFERROR(__xludf.DUMMYFUNCTION("SPLIT(E59, "","")"),220.0)</f>
        <v>220</v>
      </c>
      <c r="G59" s="10"/>
      <c r="H59" s="10"/>
      <c r="I59" s="10">
        <f t="shared" si="1"/>
        <v>220</v>
      </c>
      <c r="J59" s="6">
        <f t="shared" si="2"/>
        <v>0.01431732396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>
        <v>58.0</v>
      </c>
      <c r="B60" s="7">
        <v>7962.0</v>
      </c>
      <c r="C60" s="7">
        <v>3.0</v>
      </c>
      <c r="D60" s="7">
        <v>45.0</v>
      </c>
      <c r="E60" s="8" t="s">
        <v>68</v>
      </c>
      <c r="F60" s="9">
        <f>IFERROR(__xludf.DUMMYFUNCTION("SPLIT(E60, "","")"),45.0)</f>
        <v>45</v>
      </c>
      <c r="G60" s="10">
        <f>IFERROR(__xludf.DUMMYFUNCTION("""COMPUTED_VALUE"""),15.0)</f>
        <v>15</v>
      </c>
      <c r="H60" s="10">
        <f>IFERROR(__xludf.DUMMYFUNCTION("""COMPUTED_VALUE"""),37.0)</f>
        <v>37</v>
      </c>
      <c r="I60" s="10">
        <f t="shared" si="1"/>
        <v>97</v>
      </c>
      <c r="J60" s="6">
        <f t="shared" si="2"/>
        <v>0.01218286863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>
        <v>59.0</v>
      </c>
      <c r="B61" s="7">
        <v>4249.0</v>
      </c>
      <c r="C61" s="7">
        <v>1.0</v>
      </c>
      <c r="D61" s="7">
        <v>32.0</v>
      </c>
      <c r="E61" s="11" t="s">
        <v>69</v>
      </c>
      <c r="F61" s="9">
        <f>IFERROR(__xludf.DUMMYFUNCTION("SPLIT(E61, "","")"),71.0)</f>
        <v>71</v>
      </c>
      <c r="G61" s="10"/>
      <c r="H61" s="10"/>
      <c r="I61" s="10">
        <f t="shared" si="1"/>
        <v>71</v>
      </c>
      <c r="J61" s="6">
        <f t="shared" si="2"/>
        <v>0.01670981407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>
        <v>60.0</v>
      </c>
      <c r="B62" s="7">
        <v>22482.0</v>
      </c>
      <c r="C62" s="7">
        <v>3.0</v>
      </c>
      <c r="D62" s="7">
        <v>72.0</v>
      </c>
      <c r="E62" s="8" t="s">
        <v>70</v>
      </c>
      <c r="F62" s="9">
        <f>IFERROR(__xludf.DUMMYFUNCTION("SPLIT(E62, "","")"),108.0)</f>
        <v>108</v>
      </c>
      <c r="G62" s="10">
        <f>IFERROR(__xludf.DUMMYFUNCTION("""COMPUTED_VALUE"""),76.0)</f>
        <v>76</v>
      </c>
      <c r="H62" s="10">
        <f>IFERROR(__xludf.DUMMYFUNCTION("""COMPUTED_VALUE"""),157.0)</f>
        <v>157</v>
      </c>
      <c r="I62" s="10">
        <f t="shared" si="1"/>
        <v>341</v>
      </c>
      <c r="J62" s="6">
        <f t="shared" si="2"/>
        <v>0.01516768971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>
        <v>61.0</v>
      </c>
      <c r="B63" s="7">
        <v>3767.0</v>
      </c>
      <c r="C63" s="7">
        <v>1.0</v>
      </c>
      <c r="D63" s="7">
        <v>25.0</v>
      </c>
      <c r="E63" s="11" t="s">
        <v>71</v>
      </c>
      <c r="F63" s="9">
        <f>IFERROR(__xludf.DUMMYFUNCTION("SPLIT(E63, "","")"),59.0)</f>
        <v>59</v>
      </c>
      <c r="G63" s="10"/>
      <c r="H63" s="10"/>
      <c r="I63" s="10">
        <f t="shared" si="1"/>
        <v>59</v>
      </c>
      <c r="J63" s="6">
        <f t="shared" si="2"/>
        <v>0.01566233077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>
        <v>62.0</v>
      </c>
      <c r="B64" s="7">
        <v>24828.0</v>
      </c>
      <c r="C64" s="7">
        <v>3.0</v>
      </c>
      <c r="D64" s="7">
        <v>32.0</v>
      </c>
      <c r="E64" s="8" t="s">
        <v>72</v>
      </c>
      <c r="F64" s="9">
        <f>IFERROR(__xludf.DUMMYFUNCTION("SPLIT(E64, "","")"),49.0)</f>
        <v>49</v>
      </c>
      <c r="G64" s="10">
        <f>IFERROR(__xludf.DUMMYFUNCTION("""COMPUTED_VALUE"""),100.0)</f>
        <v>100</v>
      </c>
      <c r="H64" s="10">
        <f>IFERROR(__xludf.DUMMYFUNCTION("""COMPUTED_VALUE"""),53.0)</f>
        <v>53</v>
      </c>
      <c r="I64" s="10">
        <f t="shared" si="1"/>
        <v>202</v>
      </c>
      <c r="J64" s="6">
        <f t="shared" si="2"/>
        <v>0.008135975512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>
        <v>63.0</v>
      </c>
      <c r="B65" s="7">
        <v>31528.0</v>
      </c>
      <c r="C65" s="7">
        <v>3.0</v>
      </c>
      <c r="D65" s="7">
        <v>63.0</v>
      </c>
      <c r="E65" s="8" t="s">
        <v>73</v>
      </c>
      <c r="F65" s="9">
        <f>IFERROR(__xludf.DUMMYFUNCTION("SPLIT(E65, "","")"),107.0)</f>
        <v>107</v>
      </c>
      <c r="G65" s="10">
        <f>IFERROR(__xludf.DUMMYFUNCTION("""COMPUTED_VALUE"""),59.0)</f>
        <v>59</v>
      </c>
      <c r="H65" s="10">
        <f>IFERROR(__xludf.DUMMYFUNCTION("""COMPUTED_VALUE"""),180.0)</f>
        <v>180</v>
      </c>
      <c r="I65" s="10">
        <f t="shared" si="1"/>
        <v>346</v>
      </c>
      <c r="J65" s="6">
        <f t="shared" si="2"/>
        <v>0.01097437199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>
        <v>64.0</v>
      </c>
      <c r="B66" s="7">
        <v>24541.0</v>
      </c>
      <c r="C66" s="7">
        <v>2.0</v>
      </c>
      <c r="D66" s="7">
        <v>57.0</v>
      </c>
      <c r="E66" s="8" t="s">
        <v>74</v>
      </c>
      <c r="F66" s="9">
        <f>IFERROR(__xludf.DUMMYFUNCTION("SPLIT(E66, "","")"),152.0)</f>
        <v>152</v>
      </c>
      <c r="G66" s="10">
        <f>IFERROR(__xludf.DUMMYFUNCTION("""COMPUTED_VALUE"""),126.0)</f>
        <v>126</v>
      </c>
      <c r="H66" s="10"/>
      <c r="I66" s="10">
        <f t="shared" si="1"/>
        <v>278</v>
      </c>
      <c r="J66" s="6">
        <f t="shared" si="2"/>
        <v>0.01132798174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>
        <v>65.0</v>
      </c>
      <c r="B67" s="7">
        <v>18579.0</v>
      </c>
      <c r="C67" s="7">
        <v>2.0</v>
      </c>
      <c r="D67" s="7">
        <v>28.0</v>
      </c>
      <c r="E67" s="8" t="s">
        <v>75</v>
      </c>
      <c r="F67" s="9">
        <f>IFERROR(__xludf.DUMMYFUNCTION("SPLIT(E67, "","")"),30.0)</f>
        <v>30</v>
      </c>
      <c r="G67" s="10">
        <f>IFERROR(__xludf.DUMMYFUNCTION("""COMPUTED_VALUE"""),283.0)</f>
        <v>283</v>
      </c>
      <c r="H67" s="10"/>
      <c r="I67" s="10">
        <f t="shared" si="1"/>
        <v>313</v>
      </c>
      <c r="J67" s="6">
        <f t="shared" si="2"/>
        <v>0.01684697777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>
        <v>66.0</v>
      </c>
      <c r="B68" s="7">
        <v>15579.0</v>
      </c>
      <c r="C68" s="7">
        <v>3.0</v>
      </c>
      <c r="D68" s="7">
        <v>48.0</v>
      </c>
      <c r="E68" s="8" t="s">
        <v>76</v>
      </c>
      <c r="F68" s="9">
        <f>IFERROR(__xludf.DUMMYFUNCTION("SPLIT(E68, "","")"),58.0)</f>
        <v>58</v>
      </c>
      <c r="G68" s="10">
        <f>IFERROR(__xludf.DUMMYFUNCTION("""COMPUTED_VALUE"""),43.0)</f>
        <v>43</v>
      </c>
      <c r="H68" s="10">
        <f>IFERROR(__xludf.DUMMYFUNCTION("""COMPUTED_VALUE"""),89.0)</f>
        <v>89</v>
      </c>
      <c r="I68" s="10">
        <f t="shared" si="1"/>
        <v>190</v>
      </c>
      <c r="J68" s="6">
        <f t="shared" si="2"/>
        <v>0.01219590474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>
        <v>67.0</v>
      </c>
      <c r="B69" s="7">
        <v>15511.0</v>
      </c>
      <c r="C69" s="7">
        <v>2.0</v>
      </c>
      <c r="D69" s="7">
        <v>10.0</v>
      </c>
      <c r="E69" s="8" t="s">
        <v>77</v>
      </c>
      <c r="F69" s="9">
        <f>IFERROR(__xludf.DUMMYFUNCTION("SPLIT(E69, "","")"),60.0)</f>
        <v>60</v>
      </c>
      <c r="G69" s="10">
        <f>IFERROR(__xludf.DUMMYFUNCTION("""COMPUTED_VALUE"""),167.0)</f>
        <v>167</v>
      </c>
      <c r="H69" s="10"/>
      <c r="I69" s="10">
        <f t="shared" si="1"/>
        <v>227</v>
      </c>
      <c r="J69" s="6">
        <f t="shared" si="2"/>
        <v>0.01463477532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>
        <v>68.0</v>
      </c>
      <c r="B70" s="7">
        <v>16177.0</v>
      </c>
      <c r="C70" s="7">
        <v>2.0</v>
      </c>
      <c r="D70" s="7">
        <v>45.0</v>
      </c>
      <c r="E70" s="8" t="s">
        <v>78</v>
      </c>
      <c r="F70" s="9">
        <f>IFERROR(__xludf.DUMMYFUNCTION("SPLIT(E70, "","")"),44.0)</f>
        <v>44</v>
      </c>
      <c r="G70" s="10">
        <f>IFERROR(__xludf.DUMMYFUNCTION("""COMPUTED_VALUE"""),158.0)</f>
        <v>158</v>
      </c>
      <c r="H70" s="10"/>
      <c r="I70" s="10">
        <f t="shared" si="1"/>
        <v>202</v>
      </c>
      <c r="J70" s="6">
        <f t="shared" si="2"/>
        <v>0.01248686407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>
        <v>69.0</v>
      </c>
      <c r="B71" s="7">
        <v>9664.0</v>
      </c>
      <c r="C71" s="7">
        <v>1.0</v>
      </c>
      <c r="D71" s="7">
        <v>42.0</v>
      </c>
      <c r="E71" s="11" t="s">
        <v>79</v>
      </c>
      <c r="F71" s="9">
        <f>IFERROR(__xludf.DUMMYFUNCTION("SPLIT(E71, "","")"),169.0)</f>
        <v>169</v>
      </c>
      <c r="G71" s="10"/>
      <c r="H71" s="10"/>
      <c r="I71" s="10">
        <f t="shared" si="1"/>
        <v>169</v>
      </c>
      <c r="J71" s="6">
        <f t="shared" si="2"/>
        <v>0.01748758278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>
        <v>70.0</v>
      </c>
      <c r="B72" s="7">
        <v>37188.0</v>
      </c>
      <c r="C72" s="7">
        <v>3.0</v>
      </c>
      <c r="D72" s="7">
        <v>9.0</v>
      </c>
      <c r="E72" s="8" t="s">
        <v>80</v>
      </c>
      <c r="F72" s="9">
        <f>IFERROR(__xludf.DUMMYFUNCTION("SPLIT(E72, "","")"),25.0)</f>
        <v>25</v>
      </c>
      <c r="G72" s="10">
        <f>IFERROR(__xludf.DUMMYFUNCTION("""COMPUTED_VALUE"""),103.0)</f>
        <v>103</v>
      </c>
      <c r="H72" s="10">
        <f>IFERROR(__xludf.DUMMYFUNCTION("""COMPUTED_VALUE"""),250.0)</f>
        <v>250</v>
      </c>
      <c r="I72" s="10">
        <f t="shared" si="1"/>
        <v>378</v>
      </c>
      <c r="J72" s="6">
        <f t="shared" si="2"/>
        <v>0.01016456922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>
        <v>71.0</v>
      </c>
      <c r="B73" s="7">
        <v>6373.0</v>
      </c>
      <c r="C73" s="7">
        <v>2.0</v>
      </c>
      <c r="D73" s="7">
        <v>26.0</v>
      </c>
      <c r="E73" s="8" t="s">
        <v>81</v>
      </c>
      <c r="F73" s="9">
        <f>IFERROR(__xludf.DUMMYFUNCTION("SPLIT(E73, "","")"),25.0)</f>
        <v>25</v>
      </c>
      <c r="G73" s="10">
        <f>IFERROR(__xludf.DUMMYFUNCTION("""COMPUTED_VALUE"""),64.0)</f>
        <v>64</v>
      </c>
      <c r="H73" s="10"/>
      <c r="I73" s="10">
        <f t="shared" si="1"/>
        <v>89</v>
      </c>
      <c r="J73" s="6">
        <f t="shared" si="2"/>
        <v>0.01396516554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>
        <v>72.0</v>
      </c>
      <c r="B74" s="7">
        <v>7042.0</v>
      </c>
      <c r="C74" s="7">
        <v>2.0</v>
      </c>
      <c r="D74" s="7">
        <v>15.0</v>
      </c>
      <c r="E74" s="8" t="s">
        <v>82</v>
      </c>
      <c r="F74" s="9">
        <f>IFERROR(__xludf.DUMMYFUNCTION("SPLIT(E74, "","")"),10.0)</f>
        <v>10</v>
      </c>
      <c r="G74" s="10">
        <f>IFERROR(__xludf.DUMMYFUNCTION("""COMPUTED_VALUE"""),81.0)</f>
        <v>81</v>
      </c>
      <c r="H74" s="10"/>
      <c r="I74" s="10">
        <f t="shared" si="1"/>
        <v>91</v>
      </c>
      <c r="J74" s="6">
        <f t="shared" si="2"/>
        <v>0.01292246521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>
        <v>73.0</v>
      </c>
      <c r="B75" s="7">
        <v>4052.0</v>
      </c>
      <c r="C75" s="7">
        <v>1.0</v>
      </c>
      <c r="D75" s="7">
        <v>16.0</v>
      </c>
      <c r="E75" s="11" t="s">
        <v>17</v>
      </c>
      <c r="F75" s="9">
        <f>IFERROR(__xludf.DUMMYFUNCTION("SPLIT(E75, "","")"),80.0)</f>
        <v>80</v>
      </c>
      <c r="G75" s="10"/>
      <c r="H75" s="10"/>
      <c r="I75" s="10">
        <f t="shared" si="1"/>
        <v>80</v>
      </c>
      <c r="J75" s="6">
        <f t="shared" si="2"/>
        <v>0.01974333662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>
        <v>74.0</v>
      </c>
      <c r="B76" s="7">
        <v>23131.0</v>
      </c>
      <c r="C76" s="7">
        <v>3.0</v>
      </c>
      <c r="D76" s="7">
        <v>60.0</v>
      </c>
      <c r="E76" s="8" t="s">
        <v>83</v>
      </c>
      <c r="F76" s="9">
        <f>IFERROR(__xludf.DUMMYFUNCTION("SPLIT(E76, "","")"),70.0)</f>
        <v>70</v>
      </c>
      <c r="G76" s="10">
        <f>IFERROR(__xludf.DUMMYFUNCTION("""COMPUTED_VALUE"""),146.0)</f>
        <v>146</v>
      </c>
      <c r="H76" s="10">
        <f>IFERROR(__xludf.DUMMYFUNCTION("""COMPUTED_VALUE"""),20.0)</f>
        <v>20</v>
      </c>
      <c r="I76" s="10">
        <f t="shared" si="1"/>
        <v>236</v>
      </c>
      <c r="J76" s="6">
        <f t="shared" si="2"/>
        <v>0.0102027582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>
        <v>75.0</v>
      </c>
      <c r="B77" s="7">
        <v>6491.0</v>
      </c>
      <c r="C77" s="7">
        <v>1.0</v>
      </c>
      <c r="D77" s="7">
        <v>24.0</v>
      </c>
      <c r="E77" s="11" t="s">
        <v>84</v>
      </c>
      <c r="F77" s="9">
        <f>IFERROR(__xludf.DUMMYFUNCTION("SPLIT(E77, "","")"),121.0)</f>
        <v>121</v>
      </c>
      <c r="G77" s="10"/>
      <c r="H77" s="10"/>
      <c r="I77" s="10">
        <f t="shared" si="1"/>
        <v>121</v>
      </c>
      <c r="J77" s="6">
        <f t="shared" si="2"/>
        <v>0.0186411955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>
        <v>76.0</v>
      </c>
      <c r="B78" s="7">
        <v>5288.0</v>
      </c>
      <c r="C78" s="7">
        <v>2.0</v>
      </c>
      <c r="D78" s="7">
        <v>28.0</v>
      </c>
      <c r="E78" s="8" t="s">
        <v>85</v>
      </c>
      <c r="F78" s="9">
        <f>IFERROR(__xludf.DUMMYFUNCTION("SPLIT(E78, "","")"),6.0)</f>
        <v>6</v>
      </c>
      <c r="G78" s="10">
        <f>IFERROR(__xludf.DUMMYFUNCTION("""COMPUTED_VALUE"""),69.0)</f>
        <v>69</v>
      </c>
      <c r="H78" s="10"/>
      <c r="I78" s="10">
        <f t="shared" si="1"/>
        <v>75</v>
      </c>
      <c r="J78" s="6">
        <f t="shared" si="2"/>
        <v>0.01418305598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>
        <v>77.0</v>
      </c>
      <c r="B79" s="7">
        <v>16206.0</v>
      </c>
      <c r="C79" s="7">
        <v>2.0</v>
      </c>
      <c r="D79" s="7">
        <v>48.0</v>
      </c>
      <c r="E79" s="8" t="s">
        <v>32</v>
      </c>
      <c r="F79" s="9">
        <f>IFERROR(__xludf.DUMMYFUNCTION("SPLIT(E79, "","")"),105.0)</f>
        <v>105</v>
      </c>
      <c r="G79" s="10">
        <f>IFERROR(__xludf.DUMMYFUNCTION("""COMPUTED_VALUE"""),82.0)</f>
        <v>82</v>
      </c>
      <c r="H79" s="10"/>
      <c r="I79" s="10">
        <f t="shared" si="1"/>
        <v>187</v>
      </c>
      <c r="J79" s="6">
        <f t="shared" si="2"/>
        <v>0.0115389362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>
        <v>78.0</v>
      </c>
      <c r="B80" s="7">
        <v>24544.0</v>
      </c>
      <c r="C80" s="7">
        <v>2.0</v>
      </c>
      <c r="D80" s="7">
        <v>27.0</v>
      </c>
      <c r="E80" s="8" t="s">
        <v>86</v>
      </c>
      <c r="F80" s="9">
        <f>IFERROR(__xludf.DUMMYFUNCTION("SPLIT(E80, "","")"),71.0)</f>
        <v>71</v>
      </c>
      <c r="G80" s="10">
        <f>IFERROR(__xludf.DUMMYFUNCTION("""COMPUTED_VALUE"""),97.0)</f>
        <v>97</v>
      </c>
      <c r="H80" s="10"/>
      <c r="I80" s="10">
        <f t="shared" si="1"/>
        <v>168</v>
      </c>
      <c r="J80" s="6">
        <f t="shared" si="2"/>
        <v>0.006844850065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>
        <v>79.0</v>
      </c>
      <c r="B81" s="7">
        <v>4273.0</v>
      </c>
      <c r="C81" s="7">
        <v>1.0</v>
      </c>
      <c r="D81" s="7">
        <v>27.0</v>
      </c>
      <c r="E81" s="11" t="s">
        <v>87</v>
      </c>
      <c r="F81" s="9">
        <f>IFERROR(__xludf.DUMMYFUNCTION("SPLIT(E81, "","")"),42.0)</f>
        <v>42</v>
      </c>
      <c r="G81" s="10"/>
      <c r="H81" s="10"/>
      <c r="I81" s="10">
        <f t="shared" si="1"/>
        <v>42</v>
      </c>
      <c r="J81" s="6">
        <f t="shared" si="2"/>
        <v>0.009829159841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>
        <v>80.0</v>
      </c>
      <c r="B82" s="7">
        <v>15773.0</v>
      </c>
      <c r="C82" s="7">
        <v>1.0</v>
      </c>
      <c r="D82" s="7">
        <v>45.0</v>
      </c>
      <c r="E82" s="11" t="s">
        <v>88</v>
      </c>
      <c r="F82" s="9">
        <f>IFERROR(__xludf.DUMMYFUNCTION("SPLIT(E82, "","")"),88.0)</f>
        <v>88</v>
      </c>
      <c r="G82" s="10"/>
      <c r="H82" s="10"/>
      <c r="I82" s="10">
        <f t="shared" si="1"/>
        <v>88</v>
      </c>
      <c r="J82" s="6">
        <f t="shared" si="2"/>
        <v>0.005579154251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>
        <v>81.0</v>
      </c>
      <c r="B83" s="7">
        <v>4027.0</v>
      </c>
      <c r="C83" s="7">
        <v>1.0</v>
      </c>
      <c r="D83" s="7">
        <v>66.0</v>
      </c>
      <c r="E83" s="11" t="s">
        <v>69</v>
      </c>
      <c r="F83" s="9">
        <f>IFERROR(__xludf.DUMMYFUNCTION("SPLIT(E83, "","")"),71.0)</f>
        <v>71</v>
      </c>
      <c r="G83" s="10"/>
      <c r="H83" s="10"/>
      <c r="I83" s="10">
        <f t="shared" si="1"/>
        <v>71</v>
      </c>
      <c r="J83" s="6">
        <f t="shared" si="2"/>
        <v>0.01763099081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>
        <v>82.0</v>
      </c>
      <c r="B84" s="7">
        <v>20056.0</v>
      </c>
      <c r="C84" s="7">
        <v>3.0</v>
      </c>
      <c r="D84" s="7">
        <v>38.0</v>
      </c>
      <c r="E84" s="8" t="s">
        <v>89</v>
      </c>
      <c r="F84" s="9">
        <f>IFERROR(__xludf.DUMMYFUNCTION("SPLIT(E84, "","")"),14.0)</f>
        <v>14</v>
      </c>
      <c r="G84" s="10">
        <f>IFERROR(__xludf.DUMMYFUNCTION("""COMPUTED_VALUE"""),271.0)</f>
        <v>271</v>
      </c>
      <c r="H84" s="10">
        <f>IFERROR(__xludf.DUMMYFUNCTION("""COMPUTED_VALUE"""),60.0)</f>
        <v>60</v>
      </c>
      <c r="I84" s="10">
        <f t="shared" si="1"/>
        <v>345</v>
      </c>
      <c r="J84" s="6">
        <f t="shared" si="2"/>
        <v>0.01720183486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>
        <v>83.0</v>
      </c>
      <c r="B85" s="7">
        <v>18185.0</v>
      </c>
      <c r="C85" s="7">
        <v>2.0</v>
      </c>
      <c r="D85" s="7">
        <v>55.0</v>
      </c>
      <c r="E85" s="8" t="s">
        <v>90</v>
      </c>
      <c r="F85" s="9">
        <f>IFERROR(__xludf.DUMMYFUNCTION("SPLIT(E85, "","")"),254.0)</f>
        <v>254</v>
      </c>
      <c r="G85" s="10">
        <f>IFERROR(__xludf.DUMMYFUNCTION("""COMPUTED_VALUE"""),71.0)</f>
        <v>71</v>
      </c>
      <c r="H85" s="10"/>
      <c r="I85" s="10">
        <f t="shared" si="1"/>
        <v>325</v>
      </c>
      <c r="J85" s="6">
        <f t="shared" si="2"/>
        <v>0.01787187242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>
        <v>84.0</v>
      </c>
      <c r="B86" s="7">
        <v>12557.0</v>
      </c>
      <c r="C86" s="7">
        <v>2.0</v>
      </c>
      <c r="D86" s="7">
        <v>55.0</v>
      </c>
      <c r="E86" s="8" t="s">
        <v>91</v>
      </c>
      <c r="F86" s="9">
        <f>IFERROR(__xludf.DUMMYFUNCTION("SPLIT(E86, "","")"),35.0)</f>
        <v>35</v>
      </c>
      <c r="G86" s="10">
        <f>IFERROR(__xludf.DUMMYFUNCTION("""COMPUTED_VALUE"""),146.0)</f>
        <v>146</v>
      </c>
      <c r="H86" s="10"/>
      <c r="I86" s="10">
        <f t="shared" si="1"/>
        <v>181</v>
      </c>
      <c r="J86" s="6">
        <f t="shared" si="2"/>
        <v>0.01441427092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7">
        <v>85.0</v>
      </c>
      <c r="B87" s="7">
        <v>19180.0</v>
      </c>
      <c r="C87" s="7">
        <v>2.0</v>
      </c>
      <c r="D87" s="7">
        <v>8.0</v>
      </c>
      <c r="E87" s="8" t="s">
        <v>92</v>
      </c>
      <c r="F87" s="9">
        <f>IFERROR(__xludf.DUMMYFUNCTION("SPLIT(E87, "","")"),60.0)</f>
        <v>60</v>
      </c>
      <c r="G87" s="10">
        <f>IFERROR(__xludf.DUMMYFUNCTION("""COMPUTED_VALUE"""),151.0)</f>
        <v>151</v>
      </c>
      <c r="H87" s="10"/>
      <c r="I87" s="10">
        <f t="shared" si="1"/>
        <v>211</v>
      </c>
      <c r="J87" s="6">
        <f t="shared" si="2"/>
        <v>0.01100104275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7">
        <v>86.0</v>
      </c>
      <c r="B88" s="7">
        <v>21152.0</v>
      </c>
      <c r="C88" s="7">
        <v>2.0</v>
      </c>
      <c r="D88" s="7">
        <v>52.0</v>
      </c>
      <c r="E88" s="8" t="s">
        <v>93</v>
      </c>
      <c r="F88" s="9">
        <f>IFERROR(__xludf.DUMMYFUNCTION("SPLIT(E88, "","")"),323.0)</f>
        <v>323</v>
      </c>
      <c r="G88" s="10">
        <f>IFERROR(__xludf.DUMMYFUNCTION("""COMPUTED_VALUE"""),60.0)</f>
        <v>60</v>
      </c>
      <c r="H88" s="10"/>
      <c r="I88" s="10">
        <f t="shared" si="1"/>
        <v>383</v>
      </c>
      <c r="J88" s="6">
        <f t="shared" si="2"/>
        <v>0.0181070348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7">
        <v>87.0</v>
      </c>
      <c r="B89" s="7">
        <v>3677.0</v>
      </c>
      <c r="C89" s="7">
        <v>1.0</v>
      </c>
      <c r="D89" s="7">
        <v>45.0</v>
      </c>
      <c r="E89" s="11" t="s">
        <v>58</v>
      </c>
      <c r="F89" s="9">
        <f>IFERROR(__xludf.DUMMYFUNCTION("SPLIT(E89, "","")"),21.0)</f>
        <v>21</v>
      </c>
      <c r="G89" s="10"/>
      <c r="H89" s="10"/>
      <c r="I89" s="10">
        <f t="shared" si="1"/>
        <v>21</v>
      </c>
      <c r="J89" s="6">
        <f t="shared" si="2"/>
        <v>0.00571117759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7">
        <v>88.0</v>
      </c>
      <c r="B90" s="7">
        <v>12989.0</v>
      </c>
      <c r="C90" s="7">
        <v>3.0</v>
      </c>
      <c r="D90" s="7">
        <v>40.0</v>
      </c>
      <c r="E90" s="8" t="s">
        <v>94</v>
      </c>
      <c r="F90" s="9">
        <f>IFERROR(__xludf.DUMMYFUNCTION("SPLIT(E90, "","")"),31.0)</f>
        <v>31</v>
      </c>
      <c r="G90" s="10">
        <f>IFERROR(__xludf.DUMMYFUNCTION("""COMPUTED_VALUE"""),23.0)</f>
        <v>23</v>
      </c>
      <c r="H90" s="10">
        <f>IFERROR(__xludf.DUMMYFUNCTION("""COMPUTED_VALUE"""),74.0)</f>
        <v>74</v>
      </c>
      <c r="I90" s="10">
        <f t="shared" si="1"/>
        <v>128</v>
      </c>
      <c r="J90" s="6">
        <f t="shared" si="2"/>
        <v>0.009854492263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7">
        <v>89.0</v>
      </c>
      <c r="B91" s="7">
        <v>19454.0</v>
      </c>
      <c r="C91" s="7">
        <v>3.0</v>
      </c>
      <c r="D91" s="7">
        <v>8.0</v>
      </c>
      <c r="E91" s="8" t="s">
        <v>95</v>
      </c>
      <c r="F91" s="9">
        <f>IFERROR(__xludf.DUMMYFUNCTION("SPLIT(E91, "","")"),173.0)</f>
        <v>173</v>
      </c>
      <c r="G91" s="10">
        <f>IFERROR(__xludf.DUMMYFUNCTION("""COMPUTED_VALUE"""),49.0)</f>
        <v>49</v>
      </c>
      <c r="H91" s="10">
        <f>IFERROR(__xludf.DUMMYFUNCTION("""COMPUTED_VALUE"""),63.0)</f>
        <v>63</v>
      </c>
      <c r="I91" s="10">
        <f t="shared" si="1"/>
        <v>285</v>
      </c>
      <c r="J91" s="6">
        <f t="shared" si="2"/>
        <v>0.01464994346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7">
        <v>90.0</v>
      </c>
      <c r="B92" s="7">
        <v>20858.0</v>
      </c>
      <c r="C92" s="7">
        <v>3.0</v>
      </c>
      <c r="D92" s="7">
        <v>56.0</v>
      </c>
      <c r="E92" s="8" t="s">
        <v>96</v>
      </c>
      <c r="F92" s="9">
        <f>IFERROR(__xludf.DUMMYFUNCTION("SPLIT(E92, "","")"),34.0)</f>
        <v>34</v>
      </c>
      <c r="G92" s="10">
        <f>IFERROR(__xludf.DUMMYFUNCTION("""COMPUTED_VALUE"""),88.0)</f>
        <v>88</v>
      </c>
      <c r="H92" s="10">
        <f>IFERROR(__xludf.DUMMYFUNCTION("""COMPUTED_VALUE"""),69.0)</f>
        <v>69</v>
      </c>
      <c r="I92" s="10">
        <f t="shared" si="1"/>
        <v>191</v>
      </c>
      <c r="J92" s="6">
        <f t="shared" si="2"/>
        <v>0.009157157925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7">
        <v>91.0</v>
      </c>
      <c r="B93" s="7">
        <v>6389.0</v>
      </c>
      <c r="C93" s="7">
        <v>1.0</v>
      </c>
      <c r="D93" s="7">
        <v>35.0</v>
      </c>
      <c r="E93" s="11" t="s">
        <v>97</v>
      </c>
      <c r="F93" s="9">
        <f>IFERROR(__xludf.DUMMYFUNCTION("SPLIT(E93, "","")"),96.0)</f>
        <v>96</v>
      </c>
      <c r="G93" s="10"/>
      <c r="H93" s="10"/>
      <c r="I93" s="10">
        <f t="shared" si="1"/>
        <v>96</v>
      </c>
      <c r="J93" s="6">
        <f t="shared" si="2"/>
        <v>0.01502582564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7">
        <v>92.0</v>
      </c>
      <c r="B94" s="7">
        <v>28552.0</v>
      </c>
      <c r="C94" s="7">
        <v>3.0</v>
      </c>
      <c r="D94" s="7">
        <v>65.0</v>
      </c>
      <c r="E94" s="8" t="s">
        <v>98</v>
      </c>
      <c r="F94" s="9">
        <f>IFERROR(__xludf.DUMMYFUNCTION("SPLIT(E94, "","")"),61.0)</f>
        <v>61</v>
      </c>
      <c r="G94" s="10">
        <f>IFERROR(__xludf.DUMMYFUNCTION("""COMPUTED_VALUE"""),175.0)</f>
        <v>175</v>
      </c>
      <c r="H94" s="10">
        <f>IFERROR(__xludf.DUMMYFUNCTION("""COMPUTED_VALUE"""),211.0)</f>
        <v>211</v>
      </c>
      <c r="I94" s="10">
        <f t="shared" si="1"/>
        <v>447</v>
      </c>
      <c r="J94" s="6">
        <f t="shared" si="2"/>
        <v>0.01565564584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7">
        <v>93.0</v>
      </c>
      <c r="B95" s="7">
        <v>30176.0</v>
      </c>
      <c r="C95" s="7">
        <v>3.0</v>
      </c>
      <c r="D95" s="7">
        <v>36.0</v>
      </c>
      <c r="E95" s="8" t="s">
        <v>99</v>
      </c>
      <c r="F95" s="9">
        <f>IFERROR(__xludf.DUMMYFUNCTION("SPLIT(E95, "","")"),130.0)</f>
        <v>130</v>
      </c>
      <c r="G95" s="10">
        <f>IFERROR(__xludf.DUMMYFUNCTION("""COMPUTED_VALUE"""),145.0)</f>
        <v>145</v>
      </c>
      <c r="H95" s="10">
        <f>IFERROR(__xludf.DUMMYFUNCTION("""COMPUTED_VALUE"""),65.0)</f>
        <v>65</v>
      </c>
      <c r="I95" s="10">
        <f t="shared" si="1"/>
        <v>340</v>
      </c>
      <c r="J95" s="6">
        <f t="shared" si="2"/>
        <v>0.01126723224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7">
        <v>94.0</v>
      </c>
      <c r="B96" s="7">
        <v>4060.0</v>
      </c>
      <c r="C96" s="7">
        <v>1.0</v>
      </c>
      <c r="D96" s="7">
        <v>60.0</v>
      </c>
      <c r="E96" s="11" t="s">
        <v>46</v>
      </c>
      <c r="F96" s="9">
        <f>IFERROR(__xludf.DUMMYFUNCTION("SPLIT(E96, "","")"),60.0)</f>
        <v>60</v>
      </c>
      <c r="G96" s="10"/>
      <c r="H96" s="10"/>
      <c r="I96" s="10">
        <f t="shared" si="1"/>
        <v>60</v>
      </c>
      <c r="J96" s="6">
        <f t="shared" si="2"/>
        <v>0.01477832512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7">
        <v>95.0</v>
      </c>
      <c r="B97" s="7">
        <v>3771.0</v>
      </c>
      <c r="C97" s="7">
        <v>2.0</v>
      </c>
      <c r="D97" s="7">
        <v>42.0</v>
      </c>
      <c r="E97" s="8" t="s">
        <v>100</v>
      </c>
      <c r="F97" s="9">
        <f>IFERROR(__xludf.DUMMYFUNCTION("SPLIT(E97, "","")"),7.0)</f>
        <v>7</v>
      </c>
      <c r="G97" s="10">
        <f>IFERROR(__xludf.DUMMYFUNCTION("""COMPUTED_VALUE"""),52.0)</f>
        <v>52</v>
      </c>
      <c r="H97" s="10"/>
      <c r="I97" s="10">
        <f t="shared" si="1"/>
        <v>59</v>
      </c>
      <c r="J97" s="6">
        <f t="shared" si="2"/>
        <v>0.01564571732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7">
        <v>96.0</v>
      </c>
      <c r="B98" s="7">
        <v>8729.0</v>
      </c>
      <c r="C98" s="7">
        <v>2.0</v>
      </c>
      <c r="D98" s="7">
        <v>56.0</v>
      </c>
      <c r="E98" s="8" t="s">
        <v>101</v>
      </c>
      <c r="F98" s="9">
        <f>IFERROR(__xludf.DUMMYFUNCTION("SPLIT(E98, "","")"),15.0)</f>
        <v>15</v>
      </c>
      <c r="G98" s="10">
        <f>IFERROR(__xludf.DUMMYFUNCTION("""COMPUTED_VALUE"""),107.0)</f>
        <v>107</v>
      </c>
      <c r="H98" s="10"/>
      <c r="I98" s="10">
        <f t="shared" si="1"/>
        <v>122</v>
      </c>
      <c r="J98" s="6">
        <f t="shared" si="2"/>
        <v>0.0139764005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7">
        <v>97.0</v>
      </c>
      <c r="B99" s="7">
        <v>19417.0</v>
      </c>
      <c r="C99" s="7">
        <v>2.0</v>
      </c>
      <c r="D99" s="7">
        <v>70.0</v>
      </c>
      <c r="E99" s="8" t="s">
        <v>102</v>
      </c>
      <c r="F99" s="9">
        <f>IFERROR(__xludf.DUMMYFUNCTION("SPLIT(E99, "","")"),33.0)</f>
        <v>33</v>
      </c>
      <c r="G99" s="10">
        <f>IFERROR(__xludf.DUMMYFUNCTION("""COMPUTED_VALUE"""),237.0)</f>
        <v>237</v>
      </c>
      <c r="H99" s="10"/>
      <c r="I99" s="10">
        <f t="shared" si="1"/>
        <v>270</v>
      </c>
      <c r="J99" s="6">
        <f t="shared" si="2"/>
        <v>0.01390534068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7">
        <v>98.0</v>
      </c>
      <c r="B100" s="7">
        <v>27482.0</v>
      </c>
      <c r="C100" s="7">
        <v>3.0</v>
      </c>
      <c r="D100" s="7">
        <v>63.0</v>
      </c>
      <c r="E100" s="8" t="s">
        <v>103</v>
      </c>
      <c r="F100" s="9">
        <f>IFERROR(__xludf.DUMMYFUNCTION("SPLIT(E100, "","")"),36.0)</f>
        <v>36</v>
      </c>
      <c r="G100" s="10">
        <f>IFERROR(__xludf.DUMMYFUNCTION("""COMPUTED_VALUE"""),107.0)</f>
        <v>107</v>
      </c>
      <c r="H100" s="10">
        <f>IFERROR(__xludf.DUMMYFUNCTION("""COMPUTED_VALUE"""),110.0)</f>
        <v>110</v>
      </c>
      <c r="I100" s="10">
        <f t="shared" si="1"/>
        <v>253</v>
      </c>
      <c r="J100" s="6">
        <f t="shared" si="2"/>
        <v>0.009206025762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7">
        <v>99.0</v>
      </c>
      <c r="B101" s="7">
        <v>6616.0</v>
      </c>
      <c r="C101" s="7">
        <v>2.0</v>
      </c>
      <c r="D101" s="7">
        <v>36.0</v>
      </c>
      <c r="E101" s="8" t="s">
        <v>104</v>
      </c>
      <c r="F101" s="9">
        <f>IFERROR(__xludf.DUMMYFUNCTION("SPLIT(E101, "","")"),41.0)</f>
        <v>41</v>
      </c>
      <c r="G101" s="10">
        <f>IFERROR(__xludf.DUMMYFUNCTION("""COMPUTED_VALUE"""),22.0)</f>
        <v>22</v>
      </c>
      <c r="H101" s="10"/>
      <c r="I101" s="10">
        <f t="shared" si="1"/>
        <v>63</v>
      </c>
      <c r="J101" s="6">
        <f t="shared" si="2"/>
        <v>0.009522370012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7">
        <v>100.0</v>
      </c>
      <c r="B102" s="7">
        <v>17482.0</v>
      </c>
      <c r="C102" s="7">
        <v>3.0</v>
      </c>
      <c r="D102" s="7">
        <v>36.0</v>
      </c>
      <c r="E102" s="8" t="s">
        <v>105</v>
      </c>
      <c r="F102" s="9">
        <f>IFERROR(__xludf.DUMMYFUNCTION("SPLIT(E102, "","")"),5.0)</f>
        <v>5</v>
      </c>
      <c r="G102" s="10">
        <f>IFERROR(__xludf.DUMMYFUNCTION("""COMPUTED_VALUE"""),187.0)</f>
        <v>187</v>
      </c>
      <c r="H102" s="10">
        <f>IFERROR(__xludf.DUMMYFUNCTION("""COMPUTED_VALUE"""),87.0)</f>
        <v>87</v>
      </c>
      <c r="I102" s="10">
        <f t="shared" si="1"/>
        <v>279</v>
      </c>
      <c r="J102" s="6">
        <f t="shared" si="2"/>
        <v>0.01595927239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7">
        <v>101.0</v>
      </c>
      <c r="B103" s="7">
        <v>4727.0</v>
      </c>
      <c r="C103" s="7">
        <v>1.0</v>
      </c>
      <c r="D103" s="7">
        <v>26.0</v>
      </c>
      <c r="E103" s="11" t="s">
        <v>106</v>
      </c>
      <c r="F103" s="9">
        <f>IFERROR(__xludf.DUMMYFUNCTION("SPLIT(E103, "","")"),63.0)</f>
        <v>63</v>
      </c>
      <c r="G103" s="10"/>
      <c r="H103" s="10"/>
      <c r="I103" s="10">
        <f t="shared" si="1"/>
        <v>63</v>
      </c>
      <c r="J103" s="12">
        <f t="shared" si="2"/>
        <v>0.01332769198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7">
        <v>102.0</v>
      </c>
      <c r="B104" s="7">
        <v>32850.0</v>
      </c>
      <c r="C104" s="7">
        <v>3.0</v>
      </c>
      <c r="D104" s="7">
        <v>54.0</v>
      </c>
      <c r="E104" s="8" t="s">
        <v>107</v>
      </c>
      <c r="F104" s="9">
        <f>IFERROR(__xludf.DUMMYFUNCTION("SPLIT(E104, "","")"),164.0)</f>
        <v>164</v>
      </c>
      <c r="G104" s="10">
        <f>IFERROR(__xludf.DUMMYFUNCTION("""COMPUTED_VALUE"""),56.0)</f>
        <v>56</v>
      </c>
      <c r="H104" s="10">
        <f>IFERROR(__xludf.DUMMYFUNCTION("""COMPUTED_VALUE"""),121.0)</f>
        <v>121</v>
      </c>
      <c r="I104" s="10">
        <f t="shared" si="1"/>
        <v>341</v>
      </c>
      <c r="J104" s="6">
        <f t="shared" si="2"/>
        <v>0.0103805175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7">
        <v>103.0</v>
      </c>
      <c r="B105" s="7">
        <v>8293.0</v>
      </c>
      <c r="C105" s="7">
        <v>3.0</v>
      </c>
      <c r="D105" s="7">
        <v>6.0</v>
      </c>
      <c r="E105" s="8" t="s">
        <v>108</v>
      </c>
      <c r="F105" s="9">
        <f>IFERROR(__xludf.DUMMYFUNCTION("SPLIT(E105, "","")"),40.0)</f>
        <v>40</v>
      </c>
      <c r="G105" s="10">
        <f>IFERROR(__xludf.DUMMYFUNCTION("""COMPUTED_VALUE"""),61.0)</f>
        <v>61</v>
      </c>
      <c r="H105" s="10">
        <f>IFERROR(__xludf.DUMMYFUNCTION("""COMPUTED_VALUE"""),4.0)</f>
        <v>4</v>
      </c>
      <c r="I105" s="10">
        <f t="shared" si="1"/>
        <v>105</v>
      </c>
      <c r="J105" s="6">
        <f t="shared" si="2"/>
        <v>0.0126612806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7">
        <v>104.0</v>
      </c>
      <c r="B106" s="7">
        <v>17654.0</v>
      </c>
      <c r="C106" s="7">
        <v>2.0</v>
      </c>
      <c r="D106" s="7">
        <v>63.0</v>
      </c>
      <c r="E106" s="8" t="s">
        <v>109</v>
      </c>
      <c r="F106" s="9">
        <f>IFERROR(__xludf.DUMMYFUNCTION("SPLIT(E106, "","")"),131.0)</f>
        <v>131</v>
      </c>
      <c r="G106" s="10">
        <f>IFERROR(__xludf.DUMMYFUNCTION("""COMPUTED_VALUE"""),16.0)</f>
        <v>16</v>
      </c>
      <c r="H106" s="10"/>
      <c r="I106" s="10">
        <f t="shared" si="1"/>
        <v>147</v>
      </c>
      <c r="J106" s="6">
        <f t="shared" si="2"/>
        <v>0.008326724822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7">
        <v>105.0</v>
      </c>
      <c r="B107" s="7">
        <v>9365.0</v>
      </c>
      <c r="C107" s="7">
        <v>3.0</v>
      </c>
      <c r="D107" s="7">
        <v>66.0</v>
      </c>
      <c r="E107" s="8" t="s">
        <v>110</v>
      </c>
      <c r="F107" s="9">
        <f>IFERROR(__xludf.DUMMYFUNCTION("SPLIT(E107, "","")"),76.0)</f>
        <v>76</v>
      </c>
      <c r="G107" s="10">
        <f>IFERROR(__xludf.DUMMYFUNCTION("""COMPUTED_VALUE"""),14.0)</f>
        <v>14</v>
      </c>
      <c r="H107" s="10">
        <f>IFERROR(__xludf.DUMMYFUNCTION("""COMPUTED_VALUE"""),25.0)</f>
        <v>25</v>
      </c>
      <c r="I107" s="10">
        <f t="shared" si="1"/>
        <v>115</v>
      </c>
      <c r="J107" s="6">
        <f t="shared" si="2"/>
        <v>0.01227976508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7">
        <v>106.0</v>
      </c>
      <c r="B108" s="7">
        <v>9464.0</v>
      </c>
      <c r="C108" s="7">
        <v>1.0</v>
      </c>
      <c r="D108" s="7">
        <v>70.0</v>
      </c>
      <c r="E108" s="11" t="s">
        <v>111</v>
      </c>
      <c r="F108" s="9">
        <f>IFERROR(__xludf.DUMMYFUNCTION("SPLIT(E108, "","")"),136.0)</f>
        <v>136</v>
      </c>
      <c r="G108" s="10"/>
      <c r="H108" s="10"/>
      <c r="I108" s="10">
        <f t="shared" si="1"/>
        <v>136</v>
      </c>
      <c r="J108" s="6">
        <f t="shared" si="2"/>
        <v>0.01437024514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7">
        <v>107.0</v>
      </c>
      <c r="B109" s="7">
        <v>4321.0</v>
      </c>
      <c r="C109" s="7">
        <v>1.0</v>
      </c>
      <c r="D109" s="7">
        <v>56.0</v>
      </c>
      <c r="E109" s="11" t="s">
        <v>114</v>
      </c>
      <c r="F109" s="9">
        <f>IFERROR(__xludf.DUMMYFUNCTION("SPLIT(E109, "","")"),29.0)</f>
        <v>29</v>
      </c>
      <c r="G109" s="10"/>
      <c r="H109" s="10"/>
      <c r="I109" s="10">
        <f t="shared" si="1"/>
        <v>29</v>
      </c>
      <c r="J109" s="6">
        <f t="shared" si="2"/>
        <v>0.006711409396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7">
        <v>108.0</v>
      </c>
      <c r="B110" s="7">
        <v>6229.0</v>
      </c>
      <c r="C110" s="7">
        <v>1.0</v>
      </c>
      <c r="D110" s="7">
        <v>9.0</v>
      </c>
      <c r="E110" s="11" t="s">
        <v>118</v>
      </c>
      <c r="F110" s="9">
        <f>IFERROR(__xludf.DUMMYFUNCTION("SPLIT(E110, "","")"),61.0)</f>
        <v>61</v>
      </c>
      <c r="G110" s="10"/>
      <c r="H110" s="10"/>
      <c r="I110" s="10">
        <f t="shared" si="1"/>
        <v>61</v>
      </c>
      <c r="J110" s="6">
        <f t="shared" si="2"/>
        <v>0.009792904158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7">
        <v>109.0</v>
      </c>
      <c r="B111" s="7">
        <v>46433.0</v>
      </c>
      <c r="C111" s="7">
        <v>3.0</v>
      </c>
      <c r="D111" s="7">
        <v>27.0</v>
      </c>
      <c r="E111" s="8" t="s">
        <v>121</v>
      </c>
      <c r="F111" s="9">
        <f>IFERROR(__xludf.DUMMYFUNCTION("SPLIT(E111, "","")"),222.0)</f>
        <v>222</v>
      </c>
      <c r="G111" s="10">
        <f>IFERROR(__xludf.DUMMYFUNCTION("""COMPUTED_VALUE"""),191.0)</f>
        <v>191</v>
      </c>
      <c r="H111" s="10">
        <f>IFERROR(__xludf.DUMMYFUNCTION("""COMPUTED_VALUE"""),127.0)</f>
        <v>127</v>
      </c>
      <c r="I111" s="10">
        <f t="shared" si="1"/>
        <v>540</v>
      </c>
      <c r="J111" s="6">
        <f t="shared" si="2"/>
        <v>0.01162965994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7">
        <v>110.0</v>
      </c>
      <c r="B112" s="7">
        <v>27254.0</v>
      </c>
      <c r="C112" s="7">
        <v>3.0</v>
      </c>
      <c r="D112" s="7">
        <v>52.0</v>
      </c>
      <c r="E112" s="8" t="s">
        <v>125</v>
      </c>
      <c r="F112" s="9">
        <f>IFERROR(__xludf.DUMMYFUNCTION("SPLIT(E112, "","")"),41.0)</f>
        <v>41</v>
      </c>
      <c r="G112" s="10">
        <f>IFERROR(__xludf.DUMMYFUNCTION("""COMPUTED_VALUE"""),127.0)</f>
        <v>127</v>
      </c>
      <c r="H112" s="10">
        <f>IFERROR(__xludf.DUMMYFUNCTION("""COMPUTED_VALUE"""),246.0)</f>
        <v>246</v>
      </c>
      <c r="I112" s="10">
        <f t="shared" si="1"/>
        <v>414</v>
      </c>
      <c r="J112" s="6">
        <f t="shared" si="2"/>
        <v>0.01519043076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7">
        <v>111.0</v>
      </c>
      <c r="B113" s="7">
        <v>18039.0</v>
      </c>
      <c r="C113" s="7">
        <v>2.0</v>
      </c>
      <c r="D113" s="7">
        <v>22.0</v>
      </c>
      <c r="E113" s="8" t="s">
        <v>126</v>
      </c>
      <c r="F113" s="9">
        <f>IFERROR(__xludf.DUMMYFUNCTION("SPLIT(E113, "","")"),17.0)</f>
        <v>17</v>
      </c>
      <c r="G113" s="10">
        <f>IFERROR(__xludf.DUMMYFUNCTION("""COMPUTED_VALUE"""),123.0)</f>
        <v>123</v>
      </c>
      <c r="H113" s="10"/>
      <c r="I113" s="10">
        <f t="shared" si="1"/>
        <v>140</v>
      </c>
      <c r="J113" s="6">
        <f t="shared" si="2"/>
        <v>0.007760962359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7">
        <v>112.0</v>
      </c>
      <c r="B114" s="7">
        <v>3994.0</v>
      </c>
      <c r="C114" s="7">
        <v>1.0</v>
      </c>
      <c r="D114" s="7">
        <v>28.0</v>
      </c>
      <c r="E114" s="11" t="s">
        <v>71</v>
      </c>
      <c r="F114" s="9">
        <f>IFERROR(__xludf.DUMMYFUNCTION("SPLIT(E114, "","")"),59.0)</f>
        <v>59</v>
      </c>
      <c r="G114" s="10"/>
      <c r="H114" s="10"/>
      <c r="I114" s="10">
        <f t="shared" si="1"/>
        <v>59</v>
      </c>
      <c r="J114" s="6">
        <f t="shared" si="2"/>
        <v>0.01477215824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>
        <v>113.0</v>
      </c>
      <c r="B115" s="7">
        <v>3919.0</v>
      </c>
      <c r="C115" s="7">
        <v>2.0</v>
      </c>
      <c r="D115" s="7">
        <v>8.0</v>
      </c>
      <c r="E115" s="8" t="s">
        <v>127</v>
      </c>
      <c r="F115" s="9">
        <f>IFERROR(__xludf.DUMMYFUNCTION("SPLIT(E115, "","")"),22.0)</f>
        <v>22</v>
      </c>
      <c r="G115" s="10">
        <f>IFERROR(__xludf.DUMMYFUNCTION("""COMPUTED_VALUE"""),26.0)</f>
        <v>26</v>
      </c>
      <c r="H115" s="10"/>
      <c r="I115" s="10">
        <f t="shared" si="1"/>
        <v>48</v>
      </c>
      <c r="J115" s="6">
        <f t="shared" si="2"/>
        <v>0.01224802245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>
        <v>114.0</v>
      </c>
      <c r="B116" s="7">
        <v>10327.0</v>
      </c>
      <c r="C116" s="7">
        <v>2.0</v>
      </c>
      <c r="D116" s="7">
        <v>72.0</v>
      </c>
      <c r="E116" s="8" t="s">
        <v>128</v>
      </c>
      <c r="F116" s="9">
        <f>IFERROR(__xludf.DUMMYFUNCTION("SPLIT(E116, "","")"),86.0)</f>
        <v>86</v>
      </c>
      <c r="G116" s="10">
        <f>IFERROR(__xludf.DUMMYFUNCTION("""COMPUTED_VALUE"""),12.0)</f>
        <v>12</v>
      </c>
      <c r="H116" s="10"/>
      <c r="I116" s="10">
        <f t="shared" si="1"/>
        <v>98</v>
      </c>
      <c r="J116" s="6">
        <f t="shared" si="2"/>
        <v>0.009489687228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>
        <v>115.0</v>
      </c>
      <c r="B117" s="7">
        <v>3906.0</v>
      </c>
      <c r="C117" s="7">
        <v>1.0</v>
      </c>
      <c r="D117" s="7">
        <v>9.0</v>
      </c>
      <c r="E117" s="11" t="s">
        <v>129</v>
      </c>
      <c r="F117" s="9">
        <f>IFERROR(__xludf.DUMMYFUNCTION("SPLIT(E117, "","")"),49.0)</f>
        <v>49</v>
      </c>
      <c r="G117" s="10"/>
      <c r="H117" s="10"/>
      <c r="I117" s="10">
        <f t="shared" si="1"/>
        <v>49</v>
      </c>
      <c r="J117" s="6">
        <f t="shared" si="2"/>
        <v>0.01254480287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>
        <v>116.0</v>
      </c>
      <c r="B118" s="7">
        <v>20328.0</v>
      </c>
      <c r="C118" s="7">
        <v>2.0</v>
      </c>
      <c r="D118" s="7">
        <v>15.0</v>
      </c>
      <c r="E118" s="8" t="s">
        <v>130</v>
      </c>
      <c r="F118" s="9">
        <f>IFERROR(__xludf.DUMMYFUNCTION("SPLIT(E118, "","")"),118.0)</f>
        <v>118</v>
      </c>
      <c r="G118" s="10">
        <f>IFERROR(__xludf.DUMMYFUNCTION("""COMPUTED_VALUE"""),114.0)</f>
        <v>114</v>
      </c>
      <c r="H118" s="10"/>
      <c r="I118" s="10">
        <f t="shared" si="1"/>
        <v>232</v>
      </c>
      <c r="J118" s="6">
        <f t="shared" si="2"/>
        <v>0.01141282959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>
        <v>117.0</v>
      </c>
      <c r="B119" s="7">
        <v>6646.0</v>
      </c>
      <c r="C119" s="7">
        <v>1.0</v>
      </c>
      <c r="D119" s="7">
        <v>68.0</v>
      </c>
      <c r="E119" s="11" t="s">
        <v>131</v>
      </c>
      <c r="F119" s="9">
        <f>IFERROR(__xludf.DUMMYFUNCTION("SPLIT(E119, "","")"),99.0)</f>
        <v>99</v>
      </c>
      <c r="G119" s="10"/>
      <c r="H119" s="10"/>
      <c r="I119" s="10">
        <f t="shared" si="1"/>
        <v>99</v>
      </c>
      <c r="J119" s="6">
        <f t="shared" si="2"/>
        <v>0.01489617815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>
        <v>118.0</v>
      </c>
      <c r="B120" s="7">
        <v>12886.0</v>
      </c>
      <c r="C120" s="7">
        <v>2.0</v>
      </c>
      <c r="D120" s="7">
        <v>36.0</v>
      </c>
      <c r="E120" s="8" t="s">
        <v>132</v>
      </c>
      <c r="F120" s="9">
        <f>IFERROR(__xludf.DUMMYFUNCTION("SPLIT(E120, "","")"),161.0)</f>
        <v>161</v>
      </c>
      <c r="G120" s="10">
        <f>IFERROR(__xludf.DUMMYFUNCTION("""COMPUTED_VALUE"""),42.0)</f>
        <v>42</v>
      </c>
      <c r="H120" s="10"/>
      <c r="I120" s="10">
        <f t="shared" si="1"/>
        <v>203</v>
      </c>
      <c r="J120" s="6">
        <f t="shared" si="2"/>
        <v>0.01575353096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>
        <v>119.0</v>
      </c>
      <c r="B121" s="7">
        <v>24930.0</v>
      </c>
      <c r="C121" s="7">
        <v>3.0</v>
      </c>
      <c r="D121" s="7">
        <v>36.0</v>
      </c>
      <c r="E121" s="8" t="s">
        <v>133</v>
      </c>
      <c r="F121" s="9">
        <f>IFERROR(__xludf.DUMMYFUNCTION("SPLIT(E121, "","")"),61.0)</f>
        <v>61</v>
      </c>
      <c r="G121" s="10">
        <f>IFERROR(__xludf.DUMMYFUNCTION("""COMPUTED_VALUE"""),149.0)</f>
        <v>149</v>
      </c>
      <c r="H121" s="10">
        <f>IFERROR(__xludf.DUMMYFUNCTION("""COMPUTED_VALUE"""),33.0)</f>
        <v>33</v>
      </c>
      <c r="I121" s="10">
        <f t="shared" si="1"/>
        <v>243</v>
      </c>
      <c r="J121" s="6">
        <f t="shared" si="2"/>
        <v>0.009747292419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>
        <v>120.0</v>
      </c>
      <c r="B122" s="7">
        <v>3988.0</v>
      </c>
      <c r="C122" s="7">
        <v>2.0</v>
      </c>
      <c r="D122" s="7">
        <v>60.0</v>
      </c>
      <c r="E122" s="11" t="s">
        <v>134</v>
      </c>
      <c r="F122" s="9">
        <f>IFERROR(__xludf.DUMMYFUNCTION("SPLIT(E122, "","")"),15.0)</f>
        <v>15</v>
      </c>
      <c r="G122" s="10">
        <f>IFERROR(__xludf.DUMMYFUNCTION("""COMPUTED_VALUE"""),8.0)</f>
        <v>8</v>
      </c>
      <c r="H122" s="10"/>
      <c r="I122" s="10">
        <f t="shared" si="1"/>
        <v>23</v>
      </c>
      <c r="J122" s="6">
        <f t="shared" si="2"/>
        <v>0.005767301906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7">
        <v>121.0</v>
      </c>
      <c r="B123" s="7">
        <v>34980.0</v>
      </c>
      <c r="C123" s="7">
        <v>3.0</v>
      </c>
      <c r="D123" s="7">
        <v>50.0</v>
      </c>
      <c r="E123" s="8" t="s">
        <v>135</v>
      </c>
      <c r="F123" s="9">
        <f>IFERROR(__xludf.DUMMYFUNCTION("SPLIT(E123, "","")"),44.0)</f>
        <v>44</v>
      </c>
      <c r="G123" s="10">
        <f>IFERROR(__xludf.DUMMYFUNCTION("""COMPUTED_VALUE"""),263.0)</f>
        <v>263</v>
      </c>
      <c r="H123" s="10">
        <f>IFERROR(__xludf.DUMMYFUNCTION("""COMPUTED_VALUE"""),295.0)</f>
        <v>295</v>
      </c>
      <c r="I123" s="10">
        <f t="shared" si="1"/>
        <v>602</v>
      </c>
      <c r="J123" s="6">
        <f t="shared" si="2"/>
        <v>0.01720983419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>
        <v>122.0</v>
      </c>
      <c r="B124" s="7">
        <v>29075.0</v>
      </c>
      <c r="C124" s="7">
        <v>2.0</v>
      </c>
      <c r="D124" s="7">
        <v>33.0</v>
      </c>
      <c r="E124" s="8" t="s">
        <v>136</v>
      </c>
      <c r="F124" s="9">
        <f>IFERROR(__xludf.DUMMYFUNCTION("SPLIT(E124, "","")"),90.0)</f>
        <v>90</v>
      </c>
      <c r="G124" s="10">
        <f>IFERROR(__xludf.DUMMYFUNCTION("""COMPUTED_VALUE"""),126.0)</f>
        <v>126</v>
      </c>
      <c r="H124" s="10"/>
      <c r="I124" s="10">
        <f t="shared" si="1"/>
        <v>216</v>
      </c>
      <c r="J124" s="6">
        <f t="shared" si="2"/>
        <v>0.007429062769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7">
        <v>123.0</v>
      </c>
      <c r="B125" s="7">
        <v>16457.0</v>
      </c>
      <c r="C125" s="7">
        <v>2.0</v>
      </c>
      <c r="D125" s="7">
        <v>64.0</v>
      </c>
      <c r="E125" s="8" t="s">
        <v>137</v>
      </c>
      <c r="F125" s="9">
        <f>IFERROR(__xludf.DUMMYFUNCTION("SPLIT(E125, "","")"),150.0)</f>
        <v>150</v>
      </c>
      <c r="G125" s="10">
        <f>IFERROR(__xludf.DUMMYFUNCTION("""COMPUTED_VALUE"""),95.0)</f>
        <v>95</v>
      </c>
      <c r="H125" s="10"/>
      <c r="I125" s="10">
        <f t="shared" si="1"/>
        <v>245</v>
      </c>
      <c r="J125" s="6">
        <f t="shared" si="2"/>
        <v>0.01488728201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>
        <v>124.0</v>
      </c>
      <c r="B126" s="7">
        <v>7421.0</v>
      </c>
      <c r="C126" s="7">
        <v>2.0</v>
      </c>
      <c r="D126" s="7">
        <v>44.0</v>
      </c>
      <c r="E126" s="8" t="s">
        <v>138</v>
      </c>
      <c r="F126" s="9">
        <f>IFERROR(__xludf.DUMMYFUNCTION("SPLIT(E126, "","")"),81.0)</f>
        <v>81</v>
      </c>
      <c r="G126" s="10">
        <f>IFERROR(__xludf.DUMMYFUNCTION("""COMPUTED_VALUE"""),24.0)</f>
        <v>24</v>
      </c>
      <c r="H126" s="10"/>
      <c r="I126" s="10">
        <f t="shared" si="1"/>
        <v>105</v>
      </c>
      <c r="J126" s="6">
        <f t="shared" si="2"/>
        <v>0.01414903652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7">
        <v>125.0</v>
      </c>
      <c r="B127" s="7">
        <v>15824.0</v>
      </c>
      <c r="C127" s="7">
        <v>1.0</v>
      </c>
      <c r="D127" s="7">
        <v>63.0</v>
      </c>
      <c r="E127" s="11" t="s">
        <v>139</v>
      </c>
      <c r="F127" s="9">
        <f>IFERROR(__xludf.DUMMYFUNCTION("SPLIT(E127, "","")"),203.0)</f>
        <v>203</v>
      </c>
      <c r="G127" s="10"/>
      <c r="H127" s="10"/>
      <c r="I127" s="10">
        <f t="shared" si="1"/>
        <v>203</v>
      </c>
      <c r="J127" s="6">
        <f t="shared" si="2"/>
        <v>0.01282861476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>
        <v>126.0</v>
      </c>
      <c r="B128" s="7">
        <v>8709.0</v>
      </c>
      <c r="C128" s="7">
        <v>2.0</v>
      </c>
      <c r="D128" s="7">
        <v>42.0</v>
      </c>
      <c r="E128" s="8" t="s">
        <v>140</v>
      </c>
      <c r="F128" s="9">
        <f>IFERROR(__xludf.DUMMYFUNCTION("SPLIT(E128, "","")"),6.0)</f>
        <v>6</v>
      </c>
      <c r="G128" s="10">
        <f>IFERROR(__xludf.DUMMYFUNCTION("""COMPUTED_VALUE"""),82.0)</f>
        <v>82</v>
      </c>
      <c r="H128" s="10"/>
      <c r="I128" s="10">
        <f t="shared" si="1"/>
        <v>88</v>
      </c>
      <c r="J128" s="6">
        <f t="shared" si="2"/>
        <v>0.01010448961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7">
        <v>127.0</v>
      </c>
      <c r="B129" s="7">
        <v>8416.0</v>
      </c>
      <c r="C129" s="7">
        <v>1.0</v>
      </c>
      <c r="D129" s="7">
        <v>55.0</v>
      </c>
      <c r="E129" s="11" t="s">
        <v>141</v>
      </c>
      <c r="F129" s="9">
        <f>IFERROR(__xludf.DUMMYFUNCTION("SPLIT(E129, "","")"),144.0)</f>
        <v>144</v>
      </c>
      <c r="G129" s="10"/>
      <c r="H129" s="10"/>
      <c r="I129" s="10">
        <f t="shared" si="1"/>
        <v>144</v>
      </c>
      <c r="J129" s="6">
        <f t="shared" si="2"/>
        <v>0.01711026616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>
        <v>128.0</v>
      </c>
      <c r="B130" s="7">
        <v>31954.0</v>
      </c>
      <c r="C130" s="7">
        <v>3.0</v>
      </c>
      <c r="D130" s="7">
        <v>42.0</v>
      </c>
      <c r="E130" s="8" t="s">
        <v>142</v>
      </c>
      <c r="F130" s="9">
        <f>IFERROR(__xludf.DUMMYFUNCTION("SPLIT(E130, "","")"),178.0)</f>
        <v>178</v>
      </c>
      <c r="G130" s="10">
        <f>IFERROR(__xludf.DUMMYFUNCTION("""COMPUTED_VALUE"""),130.0)</f>
        <v>130</v>
      </c>
      <c r="H130" s="10">
        <f>IFERROR(__xludf.DUMMYFUNCTION("""COMPUTED_VALUE"""),87.0)</f>
        <v>87</v>
      </c>
      <c r="I130" s="10">
        <f t="shared" si="1"/>
        <v>395</v>
      </c>
      <c r="J130" s="6">
        <f t="shared" si="2"/>
        <v>0.01236151968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7">
        <v>129.0</v>
      </c>
      <c r="B131" s="7">
        <v>28084.0</v>
      </c>
      <c r="C131" s="7">
        <v>3.0</v>
      </c>
      <c r="D131" s="7">
        <v>54.0</v>
      </c>
      <c r="E131" s="8" t="s">
        <v>143</v>
      </c>
      <c r="F131" s="9">
        <f>IFERROR(__xludf.DUMMYFUNCTION("SPLIT(E131, "","")"),264.0)</f>
        <v>264</v>
      </c>
      <c r="G131" s="10">
        <f>IFERROR(__xludf.DUMMYFUNCTION("""COMPUTED_VALUE"""),124.0)</f>
        <v>124</v>
      </c>
      <c r="H131" s="10">
        <f>IFERROR(__xludf.DUMMYFUNCTION("""COMPUTED_VALUE"""),75.0)</f>
        <v>75</v>
      </c>
      <c r="I131" s="10">
        <f t="shared" si="1"/>
        <v>463</v>
      </c>
      <c r="J131" s="6">
        <f t="shared" si="2"/>
        <v>0.01648625552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>
        <v>130.0</v>
      </c>
      <c r="B132" s="7">
        <v>4218.0</v>
      </c>
      <c r="C132" s="7">
        <v>1.0</v>
      </c>
      <c r="D132" s="7">
        <v>20.0</v>
      </c>
      <c r="E132" s="11" t="s">
        <v>144</v>
      </c>
      <c r="F132" s="9">
        <f>IFERROR(__xludf.DUMMYFUNCTION("SPLIT(E132, "","")"),38.0)</f>
        <v>38</v>
      </c>
      <c r="G132" s="10"/>
      <c r="H132" s="10"/>
      <c r="I132" s="10">
        <f t="shared" si="1"/>
        <v>38</v>
      </c>
      <c r="J132" s="6">
        <f t="shared" si="2"/>
        <v>0.009009009009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7">
        <v>131.0</v>
      </c>
      <c r="B133" s="7">
        <v>20864.0</v>
      </c>
      <c r="C133" s="7">
        <v>2.0</v>
      </c>
      <c r="D133" s="7">
        <v>8.0</v>
      </c>
      <c r="E133" s="8" t="s">
        <v>145</v>
      </c>
      <c r="F133" s="9">
        <f>IFERROR(__xludf.DUMMYFUNCTION("SPLIT(E133, "","")"),97.0)</f>
        <v>97</v>
      </c>
      <c r="G133" s="10">
        <f>IFERROR(__xludf.DUMMYFUNCTION("""COMPUTED_VALUE"""),44.0)</f>
        <v>44</v>
      </c>
      <c r="H133" s="10"/>
      <c r="I133" s="10">
        <f t="shared" si="1"/>
        <v>141</v>
      </c>
      <c r="J133" s="6">
        <f t="shared" si="2"/>
        <v>0.006758052147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>
        <v>132.0</v>
      </c>
      <c r="B134" s="7">
        <v>16610.0</v>
      </c>
      <c r="C134" s="7">
        <v>1.0</v>
      </c>
      <c r="D134" s="7">
        <v>28.0</v>
      </c>
      <c r="E134" s="11" t="s">
        <v>146</v>
      </c>
      <c r="F134" s="9">
        <f>IFERROR(__xludf.DUMMYFUNCTION("SPLIT(E134, "","")"),282.0)</f>
        <v>282</v>
      </c>
      <c r="G134" s="10"/>
      <c r="H134" s="10"/>
      <c r="I134" s="10">
        <f t="shared" si="1"/>
        <v>282</v>
      </c>
      <c r="J134" s="6">
        <f t="shared" si="2"/>
        <v>0.01697772426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7">
        <v>133.0</v>
      </c>
      <c r="B135" s="7">
        <v>26074.0</v>
      </c>
      <c r="C135" s="7">
        <v>3.0</v>
      </c>
      <c r="D135" s="7">
        <v>15.0</v>
      </c>
      <c r="E135" s="8" t="s">
        <v>147</v>
      </c>
      <c r="F135" s="9">
        <f>IFERROR(__xludf.DUMMYFUNCTION("SPLIT(E135, "","")"),21.0)</f>
        <v>21</v>
      </c>
      <c r="G135" s="10">
        <f>IFERROR(__xludf.DUMMYFUNCTION("""COMPUTED_VALUE"""),116.0)</f>
        <v>116</v>
      </c>
      <c r="H135" s="10">
        <f>IFERROR(__xludf.DUMMYFUNCTION("""COMPUTED_VALUE"""),104.0)</f>
        <v>104</v>
      </c>
      <c r="I135" s="10">
        <f t="shared" si="1"/>
        <v>241</v>
      </c>
      <c r="J135" s="6">
        <f t="shared" si="2"/>
        <v>0.009242923986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>
        <v>134.0</v>
      </c>
      <c r="B136" s="7">
        <v>23397.0</v>
      </c>
      <c r="C136" s="7">
        <v>3.0</v>
      </c>
      <c r="D136" s="7">
        <v>36.0</v>
      </c>
      <c r="E136" s="8" t="s">
        <v>148</v>
      </c>
      <c r="F136" s="9">
        <f>IFERROR(__xludf.DUMMYFUNCTION("SPLIT(E136, "","")"),263.0)</f>
        <v>263</v>
      </c>
      <c r="G136" s="10">
        <f>IFERROR(__xludf.DUMMYFUNCTION("""COMPUTED_VALUE"""),10.0)</f>
        <v>10</v>
      </c>
      <c r="H136" s="10">
        <f>IFERROR(__xludf.DUMMYFUNCTION("""COMPUTED_VALUE"""),121.0)</f>
        <v>121</v>
      </c>
      <c r="I136" s="10">
        <f t="shared" si="1"/>
        <v>394</v>
      </c>
      <c r="J136" s="6">
        <f t="shared" si="2"/>
        <v>0.01683976578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7">
        <v>135.0</v>
      </c>
      <c r="B137" s="7">
        <v>3943.0</v>
      </c>
      <c r="C137" s="7">
        <v>1.0</v>
      </c>
      <c r="D137" s="7">
        <v>12.0</v>
      </c>
      <c r="E137" s="11" t="s">
        <v>149</v>
      </c>
      <c r="F137" s="9">
        <f>IFERROR(__xludf.DUMMYFUNCTION("SPLIT(E137, "","")"),69.0)</f>
        <v>69</v>
      </c>
      <c r="G137" s="10"/>
      <c r="H137" s="10"/>
      <c r="I137" s="10">
        <f t="shared" si="1"/>
        <v>69</v>
      </c>
      <c r="J137" s="6">
        <f t="shared" si="2"/>
        <v>0.01749936597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>
        <v>136.0</v>
      </c>
      <c r="B138" s="7">
        <v>6572.0</v>
      </c>
      <c r="C138" s="7">
        <v>2.0</v>
      </c>
      <c r="D138" s="7">
        <v>36.0</v>
      </c>
      <c r="E138" s="8" t="s">
        <v>150</v>
      </c>
      <c r="F138" s="9">
        <f>IFERROR(__xludf.DUMMYFUNCTION("SPLIT(E138, "","")"),99.0)</f>
        <v>99</v>
      </c>
      <c r="G138" s="10">
        <f>IFERROR(__xludf.DUMMYFUNCTION("""COMPUTED_VALUE"""),11.0)</f>
        <v>11</v>
      </c>
      <c r="H138" s="10"/>
      <c r="I138" s="10">
        <f t="shared" si="1"/>
        <v>110</v>
      </c>
      <c r="J138" s="6">
        <f t="shared" si="2"/>
        <v>0.01673767498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7">
        <v>137.0</v>
      </c>
      <c r="B139" s="7">
        <v>17441.0</v>
      </c>
      <c r="C139" s="7">
        <v>2.0</v>
      </c>
      <c r="D139" s="7">
        <v>57.0</v>
      </c>
      <c r="E139" s="8" t="s">
        <v>151</v>
      </c>
      <c r="F139" s="9">
        <f>IFERROR(__xludf.DUMMYFUNCTION("SPLIT(E139, "","")"),10.0)</f>
        <v>10</v>
      </c>
      <c r="G139" s="10">
        <f>IFERROR(__xludf.DUMMYFUNCTION("""COMPUTED_VALUE"""),282.0)</f>
        <v>282</v>
      </c>
      <c r="H139" s="10"/>
      <c r="I139" s="10">
        <f t="shared" si="1"/>
        <v>292</v>
      </c>
      <c r="J139" s="6">
        <f t="shared" si="2"/>
        <v>0.01674215928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>
        <v>138.0</v>
      </c>
      <c r="B140" s="7">
        <v>20645.0</v>
      </c>
      <c r="C140" s="7">
        <v>2.0</v>
      </c>
      <c r="D140" s="7">
        <v>56.0</v>
      </c>
      <c r="E140" s="8" t="s">
        <v>152</v>
      </c>
      <c r="F140" s="9">
        <f>IFERROR(__xludf.DUMMYFUNCTION("SPLIT(E140, "","")"),82.0)</f>
        <v>82</v>
      </c>
      <c r="G140" s="10">
        <f>IFERROR(__xludf.DUMMYFUNCTION("""COMPUTED_VALUE"""),126.0)</f>
        <v>126</v>
      </c>
      <c r="H140" s="10"/>
      <c r="I140" s="10">
        <f t="shared" si="1"/>
        <v>208</v>
      </c>
      <c r="J140" s="6">
        <f t="shared" si="2"/>
        <v>0.01007507871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7">
        <v>139.0</v>
      </c>
      <c r="B141" s="7">
        <v>5558.0</v>
      </c>
      <c r="C141" s="7">
        <v>1.0</v>
      </c>
      <c r="D141" s="7">
        <v>21.0</v>
      </c>
      <c r="E141" s="11" t="s">
        <v>153</v>
      </c>
      <c r="F141" s="9">
        <f>IFERROR(__xludf.DUMMYFUNCTION("SPLIT(E141, "","")"),105.0)</f>
        <v>105</v>
      </c>
      <c r="G141" s="10"/>
      <c r="H141" s="10"/>
      <c r="I141" s="10">
        <f t="shared" si="1"/>
        <v>105</v>
      </c>
      <c r="J141" s="6">
        <f t="shared" si="2"/>
        <v>0.01889168766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7">
        <v>140.0</v>
      </c>
      <c r="B142" s="7">
        <v>18432.0</v>
      </c>
      <c r="C142" s="7">
        <v>3.0</v>
      </c>
      <c r="D142" s="7">
        <v>60.0</v>
      </c>
      <c r="E142" s="8" t="s">
        <v>154</v>
      </c>
      <c r="F142" s="9">
        <f>IFERROR(__xludf.DUMMYFUNCTION("SPLIT(E142, "","")"),78.0)</f>
        <v>78</v>
      </c>
      <c r="G142" s="10">
        <f>IFERROR(__xludf.DUMMYFUNCTION("""COMPUTED_VALUE"""),142.0)</f>
        <v>142</v>
      </c>
      <c r="H142" s="10">
        <f>IFERROR(__xludf.DUMMYFUNCTION("""COMPUTED_VALUE"""),24.0)</f>
        <v>24</v>
      </c>
      <c r="I142" s="10">
        <f t="shared" si="1"/>
        <v>244</v>
      </c>
      <c r="J142" s="6">
        <f t="shared" si="2"/>
        <v>0.01323784722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7">
        <v>141.0</v>
      </c>
      <c r="B143" s="7">
        <v>8374.0</v>
      </c>
      <c r="C143" s="7">
        <v>2.0</v>
      </c>
      <c r="D143" s="7">
        <v>6.0</v>
      </c>
      <c r="E143" s="8" t="s">
        <v>155</v>
      </c>
      <c r="F143" s="9">
        <f>IFERROR(__xludf.DUMMYFUNCTION("SPLIT(E143, "","")"),25.0)</f>
        <v>25</v>
      </c>
      <c r="G143" s="10">
        <f>IFERROR(__xludf.DUMMYFUNCTION("""COMPUTED_VALUE"""),50.0)</f>
        <v>50</v>
      </c>
      <c r="H143" s="10"/>
      <c r="I143" s="10">
        <f t="shared" si="1"/>
        <v>75</v>
      </c>
      <c r="J143" s="6">
        <f t="shared" si="2"/>
        <v>0.008956293289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>
        <v>142.0</v>
      </c>
      <c r="B144" s="7">
        <v>18663.0</v>
      </c>
      <c r="C144" s="7">
        <v>3.0</v>
      </c>
      <c r="D144" s="7">
        <v>42.0</v>
      </c>
      <c r="E144" s="8" t="s">
        <v>156</v>
      </c>
      <c r="F144" s="9">
        <f>IFERROR(__xludf.DUMMYFUNCTION("SPLIT(E144, "","")"),60.0)</f>
        <v>60</v>
      </c>
      <c r="G144" s="10">
        <f>IFERROR(__xludf.DUMMYFUNCTION("""COMPUTED_VALUE"""),5.0)</f>
        <v>5</v>
      </c>
      <c r="H144" s="10">
        <f>IFERROR(__xludf.DUMMYFUNCTION("""COMPUTED_VALUE"""),260.0)</f>
        <v>260</v>
      </c>
      <c r="I144" s="10">
        <f t="shared" si="1"/>
        <v>325</v>
      </c>
      <c r="J144" s="6">
        <f t="shared" si="2"/>
        <v>0.01741413492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7">
        <v>143.0</v>
      </c>
      <c r="B145" s="7">
        <v>5820.0</v>
      </c>
      <c r="C145" s="7">
        <v>2.0</v>
      </c>
      <c r="D145" s="7">
        <v>50.0</v>
      </c>
      <c r="E145" s="8" t="s">
        <v>157</v>
      </c>
      <c r="F145" s="9">
        <f>IFERROR(__xludf.DUMMYFUNCTION("SPLIT(E145, "","")"),17.0)</f>
        <v>17</v>
      </c>
      <c r="G145" s="10">
        <f>IFERROR(__xludf.DUMMYFUNCTION("""COMPUTED_VALUE"""),55.0)</f>
        <v>55</v>
      </c>
      <c r="H145" s="10"/>
      <c r="I145" s="10">
        <f t="shared" si="1"/>
        <v>72</v>
      </c>
      <c r="J145" s="6">
        <f t="shared" si="2"/>
        <v>0.01237113402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>
        <v>144.0</v>
      </c>
      <c r="B146" s="7">
        <v>26002.0</v>
      </c>
      <c r="C146" s="7">
        <v>3.0</v>
      </c>
      <c r="D146" s="7">
        <v>45.0</v>
      </c>
      <c r="E146" s="8" t="s">
        <v>158</v>
      </c>
      <c r="F146" s="9">
        <f>IFERROR(__xludf.DUMMYFUNCTION("SPLIT(E146, "","")"),51.0)</f>
        <v>51</v>
      </c>
      <c r="G146" s="10">
        <f>IFERROR(__xludf.DUMMYFUNCTION("""COMPUTED_VALUE"""),118.0)</f>
        <v>118</v>
      </c>
      <c r="H146" s="10">
        <f>IFERROR(__xludf.DUMMYFUNCTION("""COMPUTED_VALUE"""),78.0)</f>
        <v>78</v>
      </c>
      <c r="I146" s="10">
        <f t="shared" si="1"/>
        <v>247</v>
      </c>
      <c r="J146" s="6">
        <f t="shared" si="2"/>
        <v>0.009499269287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7">
        <v>145.0</v>
      </c>
      <c r="B147" s="7">
        <v>14472.0</v>
      </c>
      <c r="C147" s="7">
        <v>1.0</v>
      </c>
      <c r="D147" s="7">
        <v>65.0</v>
      </c>
      <c r="E147" s="11" t="s">
        <v>159</v>
      </c>
      <c r="F147" s="9">
        <f>IFERROR(__xludf.DUMMYFUNCTION("SPLIT(E147, "","")"),261.0)</f>
        <v>261</v>
      </c>
      <c r="G147" s="10"/>
      <c r="H147" s="10"/>
      <c r="I147" s="10">
        <f t="shared" si="1"/>
        <v>261</v>
      </c>
      <c r="J147" s="6">
        <f t="shared" si="2"/>
        <v>0.01803482587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>
        <v>146.0</v>
      </c>
      <c r="B148" s="7">
        <v>15795.0</v>
      </c>
      <c r="C148" s="7">
        <v>1.0</v>
      </c>
      <c r="D148" s="7">
        <v>40.0</v>
      </c>
      <c r="E148" s="11" t="s">
        <v>160</v>
      </c>
      <c r="F148" s="9">
        <f>IFERROR(__xludf.DUMMYFUNCTION("SPLIT(E148, "","")"),127.0)</f>
        <v>127</v>
      </c>
      <c r="G148" s="10"/>
      <c r="H148" s="10"/>
      <c r="I148" s="10">
        <f t="shared" si="1"/>
        <v>127</v>
      </c>
      <c r="J148" s="6">
        <f t="shared" si="2"/>
        <v>0.008040519152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7">
        <v>147.0</v>
      </c>
      <c r="B149" s="7">
        <v>5673.0</v>
      </c>
      <c r="C149" s="7">
        <v>2.0</v>
      </c>
      <c r="D149" s="7">
        <v>72.0</v>
      </c>
      <c r="E149" s="8" t="s">
        <v>161</v>
      </c>
      <c r="F149" s="9">
        <f>IFERROR(__xludf.DUMMYFUNCTION("SPLIT(E149, "","")"),89.0)</f>
        <v>89</v>
      </c>
      <c r="G149" s="10">
        <f>IFERROR(__xludf.DUMMYFUNCTION("""COMPUTED_VALUE"""),13.0)</f>
        <v>13</v>
      </c>
      <c r="H149" s="10"/>
      <c r="I149" s="10">
        <f t="shared" si="1"/>
        <v>102</v>
      </c>
      <c r="J149" s="6">
        <f t="shared" si="2"/>
        <v>0.01797990481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>
        <v>148.0</v>
      </c>
      <c r="B150" s="7">
        <v>4407.0</v>
      </c>
      <c r="C150" s="7">
        <v>1.0</v>
      </c>
      <c r="D150" s="7">
        <v>69.0</v>
      </c>
      <c r="E150" s="11" t="s">
        <v>106</v>
      </c>
      <c r="F150" s="9">
        <f>IFERROR(__xludf.DUMMYFUNCTION("SPLIT(E150, "","")"),63.0)</f>
        <v>63</v>
      </c>
      <c r="G150" s="10"/>
      <c r="H150" s="10"/>
      <c r="I150" s="10">
        <f t="shared" si="1"/>
        <v>63</v>
      </c>
      <c r="J150" s="6">
        <f t="shared" si="2"/>
        <v>0.01429543907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7">
        <v>149.0</v>
      </c>
      <c r="B151" s="7">
        <v>5100.0</v>
      </c>
      <c r="C151" s="7">
        <v>1.0</v>
      </c>
      <c r="D151" s="7">
        <v>42.0</v>
      </c>
      <c r="E151" s="11" t="s">
        <v>162</v>
      </c>
      <c r="F151" s="9">
        <f>IFERROR(__xludf.DUMMYFUNCTION("SPLIT(E151, "","")"),43.0)</f>
        <v>43</v>
      </c>
      <c r="G151" s="10"/>
      <c r="H151" s="10"/>
      <c r="I151" s="10">
        <f t="shared" si="1"/>
        <v>43</v>
      </c>
      <c r="J151" s="6">
        <f t="shared" si="2"/>
        <v>0.008431372549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>
        <v>150.0</v>
      </c>
      <c r="B152" s="7">
        <v>28223.0</v>
      </c>
      <c r="C152" s="7">
        <v>3.0</v>
      </c>
      <c r="D152" s="7">
        <v>40.0</v>
      </c>
      <c r="E152" s="8" t="s">
        <v>163</v>
      </c>
      <c r="F152" s="9">
        <f>IFERROR(__xludf.DUMMYFUNCTION("SPLIT(E152, "","")"),100.0)</f>
        <v>100</v>
      </c>
      <c r="G152" s="10">
        <f>IFERROR(__xludf.DUMMYFUNCTION("""COMPUTED_VALUE"""),163.0)</f>
        <v>163</v>
      </c>
      <c r="H152" s="10">
        <f>IFERROR(__xludf.DUMMYFUNCTION("""COMPUTED_VALUE"""),118.0)</f>
        <v>118</v>
      </c>
      <c r="I152" s="10">
        <f t="shared" si="1"/>
        <v>381</v>
      </c>
      <c r="J152" s="6">
        <f t="shared" si="2"/>
        <v>0.01349962796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7">
        <v>151.0</v>
      </c>
      <c r="B153" s="7">
        <v>6663.0</v>
      </c>
      <c r="C153" s="7">
        <v>1.0</v>
      </c>
      <c r="D153" s="7">
        <v>55.0</v>
      </c>
      <c r="E153" s="11" t="s">
        <v>164</v>
      </c>
      <c r="F153" s="9">
        <f>IFERROR(__xludf.DUMMYFUNCTION("SPLIT(E153, "","")"),56.0)</f>
        <v>56</v>
      </c>
      <c r="G153" s="10"/>
      <c r="H153" s="10"/>
      <c r="I153" s="10">
        <f t="shared" si="1"/>
        <v>56</v>
      </c>
      <c r="J153" s="6">
        <f t="shared" si="2"/>
        <v>0.008404622542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>
        <v>152.0</v>
      </c>
      <c r="B154" s="7">
        <v>31877.0</v>
      </c>
      <c r="C154" s="7">
        <v>3.0</v>
      </c>
      <c r="D154" s="7">
        <v>40.0</v>
      </c>
      <c r="E154" s="8" t="s">
        <v>165</v>
      </c>
      <c r="F154" s="9">
        <f>IFERROR(__xludf.DUMMYFUNCTION("SPLIT(E154, "","")"),152.0)</f>
        <v>152</v>
      </c>
      <c r="G154" s="10">
        <f>IFERROR(__xludf.DUMMYFUNCTION("""COMPUTED_VALUE"""),23.0)</f>
        <v>23</v>
      </c>
      <c r="H154" s="10">
        <f>IFERROR(__xludf.DUMMYFUNCTION("""COMPUTED_VALUE"""),129.0)</f>
        <v>129</v>
      </c>
      <c r="I154" s="10">
        <f t="shared" si="1"/>
        <v>304</v>
      </c>
      <c r="J154" s="6">
        <f t="shared" si="2"/>
        <v>0.009536656524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7">
        <v>153.0</v>
      </c>
      <c r="B155" s="7">
        <v>9918.0</v>
      </c>
      <c r="C155" s="7">
        <v>1.0</v>
      </c>
      <c r="D155" s="7">
        <v>36.0</v>
      </c>
      <c r="E155" s="11" t="s">
        <v>166</v>
      </c>
      <c r="F155" s="9">
        <f>IFERROR(__xludf.DUMMYFUNCTION("SPLIT(E155, "","")"),190.0)</f>
        <v>190</v>
      </c>
      <c r="G155" s="10"/>
      <c r="H155" s="10"/>
      <c r="I155" s="10">
        <f t="shared" si="1"/>
        <v>190</v>
      </c>
      <c r="J155" s="6">
        <f t="shared" si="2"/>
        <v>0.01915708812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>
        <v>154.0</v>
      </c>
      <c r="B156" s="7">
        <v>29611.0</v>
      </c>
      <c r="C156" s="7">
        <v>3.0</v>
      </c>
      <c r="D156" s="7">
        <v>9.0</v>
      </c>
      <c r="E156" s="8" t="s">
        <v>167</v>
      </c>
      <c r="F156" s="9">
        <f>IFERROR(__xludf.DUMMYFUNCTION("SPLIT(E156, "","")"),23.0)</f>
        <v>23</v>
      </c>
      <c r="G156" s="10">
        <f>IFERROR(__xludf.DUMMYFUNCTION("""COMPUTED_VALUE"""),161.0)</f>
        <v>161</v>
      </c>
      <c r="H156" s="10">
        <f>IFERROR(__xludf.DUMMYFUNCTION("""COMPUTED_VALUE"""),197.0)</f>
        <v>197</v>
      </c>
      <c r="I156" s="10">
        <f t="shared" si="1"/>
        <v>381</v>
      </c>
      <c r="J156" s="6">
        <f t="shared" si="2"/>
        <v>0.01286684003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7">
        <v>155.0</v>
      </c>
      <c r="B157" s="7">
        <v>14147.0</v>
      </c>
      <c r="C157" s="7">
        <v>2.0</v>
      </c>
      <c r="D157" s="7">
        <v>20.0</v>
      </c>
      <c r="E157" s="8" t="s">
        <v>168</v>
      </c>
      <c r="F157" s="9">
        <f>IFERROR(__xludf.DUMMYFUNCTION("SPLIT(E157, "","")"),80.0)</f>
        <v>80</v>
      </c>
      <c r="G157" s="10">
        <f>IFERROR(__xludf.DUMMYFUNCTION("""COMPUTED_VALUE"""),105.0)</f>
        <v>105</v>
      </c>
      <c r="H157" s="10"/>
      <c r="I157" s="10">
        <f t="shared" si="1"/>
        <v>185</v>
      </c>
      <c r="J157" s="6">
        <f t="shared" si="2"/>
        <v>0.01307697745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>
        <v>156.0</v>
      </c>
      <c r="B158" s="7">
        <v>10868.0</v>
      </c>
      <c r="C158" s="7">
        <v>2.0</v>
      </c>
      <c r="D158" s="7">
        <v>28.0</v>
      </c>
      <c r="E158" s="8" t="s">
        <v>169</v>
      </c>
      <c r="F158" s="9">
        <f>IFERROR(__xludf.DUMMYFUNCTION("SPLIT(E158, "","")"),16.0)</f>
        <v>16</v>
      </c>
      <c r="G158" s="10">
        <f>IFERROR(__xludf.DUMMYFUNCTION("""COMPUTED_VALUE"""),68.0)</f>
        <v>68</v>
      </c>
      <c r="H158" s="10"/>
      <c r="I158" s="10">
        <f t="shared" si="1"/>
        <v>84</v>
      </c>
      <c r="J158" s="6">
        <f t="shared" si="2"/>
        <v>0.007729112992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7">
        <v>157.0</v>
      </c>
      <c r="B159" s="7">
        <v>13752.0</v>
      </c>
      <c r="C159" s="7">
        <v>1.0</v>
      </c>
      <c r="D159" s="7">
        <v>10.0</v>
      </c>
      <c r="E159" s="11" t="s">
        <v>79</v>
      </c>
      <c r="F159" s="9">
        <f>IFERROR(__xludf.DUMMYFUNCTION("SPLIT(E159, "","")"),169.0)</f>
        <v>169</v>
      </c>
      <c r="G159" s="10"/>
      <c r="H159" s="10"/>
      <c r="I159" s="10">
        <f t="shared" si="1"/>
        <v>169</v>
      </c>
      <c r="J159" s="6">
        <f t="shared" si="2"/>
        <v>0.01228912158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>
        <v>158.0</v>
      </c>
      <c r="B160" s="7">
        <v>12034.0</v>
      </c>
      <c r="C160" s="7">
        <v>1.0</v>
      </c>
      <c r="D160" s="7">
        <v>66.0</v>
      </c>
      <c r="E160" s="11" t="s">
        <v>170</v>
      </c>
      <c r="F160" s="9">
        <f>IFERROR(__xludf.DUMMYFUNCTION("SPLIT(E160, "","")"),205.0)</f>
        <v>205</v>
      </c>
      <c r="G160" s="10"/>
      <c r="H160" s="10"/>
      <c r="I160" s="10">
        <f t="shared" si="1"/>
        <v>205</v>
      </c>
      <c r="J160" s="6">
        <f t="shared" si="2"/>
        <v>0.01703506731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7">
        <v>159.0</v>
      </c>
      <c r="B161" s="7">
        <v>7014.0</v>
      </c>
      <c r="C161" s="7">
        <v>1.0</v>
      </c>
      <c r="D161" s="7">
        <v>32.0</v>
      </c>
      <c r="E161" s="11" t="s">
        <v>171</v>
      </c>
      <c r="F161" s="9">
        <f>IFERROR(__xludf.DUMMYFUNCTION("SPLIT(E161, "","")"),81.0)</f>
        <v>81</v>
      </c>
      <c r="G161" s="10"/>
      <c r="H161" s="10"/>
      <c r="I161" s="10">
        <f t="shared" si="1"/>
        <v>81</v>
      </c>
      <c r="J161" s="6">
        <f t="shared" si="2"/>
        <v>0.01154833191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>
        <v>160.0</v>
      </c>
      <c r="B162" s="7">
        <v>20859.0</v>
      </c>
      <c r="C162" s="7">
        <v>3.0</v>
      </c>
      <c r="D162" s="7">
        <v>42.0</v>
      </c>
      <c r="E162" s="8" t="s">
        <v>172</v>
      </c>
      <c r="F162" s="9">
        <f>IFERROR(__xludf.DUMMYFUNCTION("SPLIT(E162, "","")"),53.0)</f>
        <v>53</v>
      </c>
      <c r="G162" s="10">
        <f>IFERROR(__xludf.DUMMYFUNCTION("""COMPUTED_VALUE"""),152.0)</f>
        <v>152</v>
      </c>
      <c r="H162" s="10">
        <f>IFERROR(__xludf.DUMMYFUNCTION("""COMPUTED_VALUE"""),8.0)</f>
        <v>8</v>
      </c>
      <c r="I162" s="10">
        <f t="shared" si="1"/>
        <v>213</v>
      </c>
      <c r="J162" s="6">
        <f t="shared" si="2"/>
        <v>0.01021141953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7">
        <v>161.0</v>
      </c>
      <c r="B163" s="7">
        <v>3819.0</v>
      </c>
      <c r="C163" s="7">
        <v>1.0</v>
      </c>
      <c r="D163" s="7">
        <v>10.0</v>
      </c>
      <c r="E163" s="11" t="s">
        <v>173</v>
      </c>
      <c r="F163" s="9">
        <f>IFERROR(__xludf.DUMMYFUNCTION("SPLIT(E163, "","")"),52.0)</f>
        <v>52</v>
      </c>
      <c r="G163" s="10"/>
      <c r="H163" s="10"/>
      <c r="I163" s="10">
        <f t="shared" si="1"/>
        <v>52</v>
      </c>
      <c r="J163" s="6">
        <f t="shared" si="2"/>
        <v>0.01361612988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>
        <v>162.0</v>
      </c>
      <c r="B164" s="7">
        <v>35303.0</v>
      </c>
      <c r="C164" s="7">
        <v>3.0</v>
      </c>
      <c r="D164" s="7">
        <v>10.0</v>
      </c>
      <c r="E164" s="8" t="s">
        <v>174</v>
      </c>
      <c r="F164" s="9">
        <f>IFERROR(__xludf.DUMMYFUNCTION("SPLIT(E164, "","")"),54.0)</f>
        <v>54</v>
      </c>
      <c r="G164" s="10">
        <f>IFERROR(__xludf.DUMMYFUNCTION("""COMPUTED_VALUE"""),120.0)</f>
        <v>120</v>
      </c>
      <c r="H164" s="10">
        <f>IFERROR(__xludf.DUMMYFUNCTION("""COMPUTED_VALUE"""),65.0)</f>
        <v>65</v>
      </c>
      <c r="I164" s="10">
        <f t="shared" si="1"/>
        <v>239</v>
      </c>
      <c r="J164" s="6">
        <f t="shared" si="2"/>
        <v>0.006769962893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7">
        <v>163.0</v>
      </c>
      <c r="B165" s="7">
        <v>17812.0</v>
      </c>
      <c r="C165" s="7">
        <v>2.0</v>
      </c>
      <c r="D165" s="7">
        <v>44.0</v>
      </c>
      <c r="E165" s="8" t="s">
        <v>175</v>
      </c>
      <c r="F165" s="9">
        <f>IFERROR(__xludf.DUMMYFUNCTION("SPLIT(E165, "","")"),58.0)</f>
        <v>58</v>
      </c>
      <c r="G165" s="10">
        <f>IFERROR(__xludf.DUMMYFUNCTION("""COMPUTED_VALUE"""),140.0)</f>
        <v>140</v>
      </c>
      <c r="H165" s="10"/>
      <c r="I165" s="10">
        <f t="shared" si="1"/>
        <v>198</v>
      </c>
      <c r="J165" s="6">
        <f t="shared" si="2"/>
        <v>0.0111161015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7">
        <v>164.0</v>
      </c>
      <c r="B166" s="7">
        <v>3829.0</v>
      </c>
      <c r="C166" s="7">
        <v>1.0</v>
      </c>
      <c r="D166" s="7">
        <v>20.0</v>
      </c>
      <c r="E166" s="11" t="s">
        <v>22</v>
      </c>
      <c r="F166" s="9">
        <f>IFERROR(__xludf.DUMMYFUNCTION("SPLIT(E166, "","")"),39.0)</f>
        <v>39</v>
      </c>
      <c r="G166" s="10"/>
      <c r="H166" s="10"/>
      <c r="I166" s="10">
        <f t="shared" si="1"/>
        <v>39</v>
      </c>
      <c r="J166" s="6">
        <f t="shared" si="2"/>
        <v>0.010185427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7">
        <v>165.0</v>
      </c>
      <c r="B167" s="7">
        <v>4949.0</v>
      </c>
      <c r="C167" s="7">
        <v>1.0</v>
      </c>
      <c r="D167" s="7">
        <v>28.0</v>
      </c>
      <c r="E167" s="11" t="s">
        <v>176</v>
      </c>
      <c r="F167" s="9">
        <f>IFERROR(__xludf.DUMMYFUNCTION("SPLIT(E167, "","")"),83.0)</f>
        <v>83</v>
      </c>
      <c r="G167" s="10"/>
      <c r="H167" s="10"/>
      <c r="I167" s="10">
        <f t="shared" si="1"/>
        <v>83</v>
      </c>
      <c r="J167" s="6">
        <f t="shared" si="2"/>
        <v>0.01677106486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7">
        <v>166.0</v>
      </c>
      <c r="B168" s="7">
        <v>8579.0</v>
      </c>
      <c r="C168" s="7">
        <v>1.0</v>
      </c>
      <c r="D168" s="7">
        <v>46.0</v>
      </c>
      <c r="E168" s="11" t="s">
        <v>177</v>
      </c>
      <c r="F168" s="9">
        <f>IFERROR(__xludf.DUMMYFUNCTION("SPLIT(E168, "","")"),67.0)</f>
        <v>67</v>
      </c>
      <c r="G168" s="10"/>
      <c r="H168" s="10"/>
      <c r="I168" s="10">
        <f t="shared" si="1"/>
        <v>67</v>
      </c>
      <c r="J168" s="6">
        <f t="shared" si="2"/>
        <v>0.007809768038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7">
        <v>167.0</v>
      </c>
      <c r="B169" s="7">
        <v>29151.0</v>
      </c>
      <c r="C169" s="7">
        <v>3.0</v>
      </c>
      <c r="D169" s="7">
        <v>44.0</v>
      </c>
      <c r="E169" s="8" t="s">
        <v>178</v>
      </c>
      <c r="F169" s="9">
        <f>IFERROR(__xludf.DUMMYFUNCTION("SPLIT(E169, "","")"),52.0)</f>
        <v>52</v>
      </c>
      <c r="G169" s="10">
        <f>IFERROR(__xludf.DUMMYFUNCTION("""COMPUTED_VALUE"""),60.0)</f>
        <v>60</v>
      </c>
      <c r="H169" s="10">
        <f>IFERROR(__xludf.DUMMYFUNCTION("""COMPUTED_VALUE"""),163.0)</f>
        <v>163</v>
      </c>
      <c r="I169" s="10">
        <f t="shared" si="1"/>
        <v>275</v>
      </c>
      <c r="J169" s="6">
        <f t="shared" si="2"/>
        <v>0.00943363864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7">
        <v>168.0</v>
      </c>
      <c r="B170" s="7">
        <v>34833.0</v>
      </c>
      <c r="C170" s="7">
        <v>3.0</v>
      </c>
      <c r="D170" s="7">
        <v>70.0</v>
      </c>
      <c r="E170" s="8" t="s">
        <v>179</v>
      </c>
      <c r="F170" s="9">
        <f>IFERROR(__xludf.DUMMYFUNCTION("SPLIT(E170, "","")"),91.0)</f>
        <v>91</v>
      </c>
      <c r="G170" s="10">
        <f>IFERROR(__xludf.DUMMYFUNCTION("""COMPUTED_VALUE"""),263.0)</f>
        <v>263</v>
      </c>
      <c r="H170" s="10">
        <f>IFERROR(__xludf.DUMMYFUNCTION("""COMPUTED_VALUE"""),250.0)</f>
        <v>250</v>
      </c>
      <c r="I170" s="10">
        <f t="shared" si="1"/>
        <v>604</v>
      </c>
      <c r="J170" s="6">
        <f t="shared" si="2"/>
        <v>0.01733987885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7">
        <v>169.0</v>
      </c>
      <c r="B171" s="7">
        <v>26308.0</v>
      </c>
      <c r="C171" s="7">
        <v>2.0</v>
      </c>
      <c r="D171" s="7">
        <v>72.0</v>
      </c>
      <c r="E171" s="8" t="s">
        <v>180</v>
      </c>
      <c r="F171" s="9">
        <f>IFERROR(__xludf.DUMMYFUNCTION("SPLIT(E171, "","")"),163.0)</f>
        <v>163</v>
      </c>
      <c r="G171" s="10">
        <f>IFERROR(__xludf.DUMMYFUNCTION("""COMPUTED_VALUE"""),105.0)</f>
        <v>105</v>
      </c>
      <c r="H171" s="10"/>
      <c r="I171" s="10">
        <f t="shared" si="1"/>
        <v>268</v>
      </c>
      <c r="J171" s="6">
        <f t="shared" si="2"/>
        <v>0.01018701536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7">
        <v>170.0</v>
      </c>
      <c r="B172" s="7">
        <v>35528.0</v>
      </c>
      <c r="C172" s="7">
        <v>3.0</v>
      </c>
      <c r="D172" s="7">
        <v>46.0</v>
      </c>
      <c r="E172" s="8" t="s">
        <v>181</v>
      </c>
      <c r="F172" s="9">
        <f>IFERROR(__xludf.DUMMYFUNCTION("SPLIT(E172, "","")"),295.0)</f>
        <v>295</v>
      </c>
      <c r="G172" s="10">
        <f>IFERROR(__xludf.DUMMYFUNCTION("""COMPUTED_VALUE"""),85.0)</f>
        <v>85</v>
      </c>
      <c r="H172" s="10">
        <f>IFERROR(__xludf.DUMMYFUNCTION("""COMPUTED_VALUE"""),128.0)</f>
        <v>128</v>
      </c>
      <c r="I172" s="10">
        <f t="shared" si="1"/>
        <v>508</v>
      </c>
      <c r="J172" s="6">
        <f t="shared" si="2"/>
        <v>0.0142985814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7">
        <v>171.0</v>
      </c>
      <c r="B173" s="7">
        <v>12899.0</v>
      </c>
      <c r="C173" s="7">
        <v>1.0</v>
      </c>
      <c r="D173" s="7">
        <v>68.0</v>
      </c>
      <c r="E173" s="11" t="s">
        <v>182</v>
      </c>
      <c r="F173" s="9">
        <f>IFERROR(__xludf.DUMMYFUNCTION("SPLIT(E173, "","")"),230.0)</f>
        <v>230</v>
      </c>
      <c r="G173" s="10"/>
      <c r="H173" s="10"/>
      <c r="I173" s="10">
        <f t="shared" si="1"/>
        <v>230</v>
      </c>
      <c r="J173" s="6">
        <f t="shared" si="2"/>
        <v>0.0178308396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7">
        <v>172.0</v>
      </c>
      <c r="B174" s="7">
        <v>5562.0</v>
      </c>
      <c r="C174" s="7">
        <v>2.0</v>
      </c>
      <c r="D174" s="7">
        <v>39.0</v>
      </c>
      <c r="E174" s="8" t="s">
        <v>183</v>
      </c>
      <c r="F174" s="9">
        <f>IFERROR(__xludf.DUMMYFUNCTION("SPLIT(E174, "","")"),76.0)</f>
        <v>76</v>
      </c>
      <c r="G174" s="10">
        <f>IFERROR(__xludf.DUMMYFUNCTION("""COMPUTED_VALUE"""),15.0)</f>
        <v>15</v>
      </c>
      <c r="H174" s="10"/>
      <c r="I174" s="10">
        <f t="shared" si="1"/>
        <v>91</v>
      </c>
      <c r="J174" s="6">
        <f t="shared" si="2"/>
        <v>0.01636102122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7">
        <v>173.0</v>
      </c>
      <c r="B175" s="7">
        <v>19297.0</v>
      </c>
      <c r="C175" s="7">
        <v>3.0</v>
      </c>
      <c r="D175" s="7">
        <v>33.0</v>
      </c>
      <c r="E175" s="8" t="s">
        <v>184</v>
      </c>
      <c r="F175" s="9">
        <f>IFERROR(__xludf.DUMMYFUNCTION("SPLIT(E175, "","")"),62.0)</f>
        <v>62</v>
      </c>
      <c r="G175" s="10">
        <f>IFERROR(__xludf.DUMMYFUNCTION("""COMPUTED_VALUE"""),85.0)</f>
        <v>85</v>
      </c>
      <c r="H175" s="10">
        <f>IFERROR(__xludf.DUMMYFUNCTION("""COMPUTED_VALUE"""),57.0)</f>
        <v>57</v>
      </c>
      <c r="I175" s="10">
        <f t="shared" si="1"/>
        <v>204</v>
      </c>
      <c r="J175" s="6">
        <f t="shared" si="2"/>
        <v>0.01057159144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7">
        <v>174.0</v>
      </c>
      <c r="B176" s="7">
        <v>27811.0</v>
      </c>
      <c r="C176" s="7">
        <v>3.0</v>
      </c>
      <c r="D176" s="7">
        <v>54.0</v>
      </c>
      <c r="E176" s="8" t="s">
        <v>185</v>
      </c>
      <c r="F176" s="9">
        <f>IFERROR(__xludf.DUMMYFUNCTION("SPLIT(E176, "","")"),59.0)</f>
        <v>59</v>
      </c>
      <c r="G176" s="10">
        <f>IFERROR(__xludf.DUMMYFUNCTION("""COMPUTED_VALUE"""),124.0)</f>
        <v>124</v>
      </c>
      <c r="H176" s="10">
        <f>IFERROR(__xludf.DUMMYFUNCTION("""COMPUTED_VALUE"""),13.0)</f>
        <v>13</v>
      </c>
      <c r="I176" s="10">
        <f t="shared" si="1"/>
        <v>196</v>
      </c>
      <c r="J176" s="6">
        <f t="shared" si="2"/>
        <v>0.007047571105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7">
        <v>175.0</v>
      </c>
      <c r="B177" s="7">
        <v>23438.0</v>
      </c>
      <c r="C177" s="7">
        <v>2.0</v>
      </c>
      <c r="D177" s="7">
        <v>16.0</v>
      </c>
      <c r="E177" s="8" t="s">
        <v>186</v>
      </c>
      <c r="F177" s="9">
        <f>IFERROR(__xludf.DUMMYFUNCTION("SPLIT(E177, "","")"),308.0)</f>
        <v>308</v>
      </c>
      <c r="G177" s="10">
        <f>IFERROR(__xludf.DUMMYFUNCTION("""COMPUTED_VALUE"""),38.0)</f>
        <v>38</v>
      </c>
      <c r="H177" s="10"/>
      <c r="I177" s="10">
        <f t="shared" si="1"/>
        <v>346</v>
      </c>
      <c r="J177" s="6">
        <f t="shared" si="2"/>
        <v>0.01476235174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>
        <v>176.0</v>
      </c>
      <c r="B178" s="7">
        <v>4299.0</v>
      </c>
      <c r="C178" s="7">
        <v>1.0</v>
      </c>
      <c r="D178" s="7">
        <v>40.0</v>
      </c>
      <c r="E178" s="11" t="s">
        <v>26</v>
      </c>
      <c r="F178" s="9">
        <f>IFERROR(__xludf.DUMMYFUNCTION("SPLIT(E178, "","")"),31.0)</f>
        <v>31</v>
      </c>
      <c r="G178" s="10"/>
      <c r="H178" s="10"/>
      <c r="I178" s="10">
        <f t="shared" si="1"/>
        <v>31</v>
      </c>
      <c r="J178" s="6">
        <f t="shared" si="2"/>
        <v>0.007210979298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7">
        <v>177.0</v>
      </c>
      <c r="B179" s="7">
        <v>10592.0</v>
      </c>
      <c r="C179" s="7">
        <v>1.0</v>
      </c>
      <c r="D179" s="7">
        <v>35.0</v>
      </c>
      <c r="E179" s="11" t="s">
        <v>187</v>
      </c>
      <c r="F179" s="9">
        <f>IFERROR(__xludf.DUMMYFUNCTION("SPLIT(E179, "","")"),210.0)</f>
        <v>210</v>
      </c>
      <c r="G179" s="10"/>
      <c r="H179" s="10"/>
      <c r="I179" s="10">
        <f t="shared" si="1"/>
        <v>210</v>
      </c>
      <c r="J179" s="6">
        <f t="shared" si="2"/>
        <v>0.01982628399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>
        <v>178.0</v>
      </c>
      <c r="B180" s="7">
        <v>3963.0</v>
      </c>
      <c r="C180" s="7">
        <v>1.0</v>
      </c>
      <c r="D180" s="7">
        <v>58.0</v>
      </c>
      <c r="E180" s="11" t="s">
        <v>188</v>
      </c>
      <c r="F180" s="9">
        <f>IFERROR(__xludf.DUMMYFUNCTION("SPLIT(E180, "","")"),23.0)</f>
        <v>23</v>
      </c>
      <c r="G180" s="10"/>
      <c r="H180" s="10"/>
      <c r="I180" s="10">
        <f t="shared" si="1"/>
        <v>23</v>
      </c>
      <c r="J180" s="12">
        <f t="shared" si="2"/>
        <v>0.005803684078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7">
        <v>179.0</v>
      </c>
      <c r="B181" s="7">
        <v>30869.0</v>
      </c>
      <c r="C181" s="7">
        <v>3.0</v>
      </c>
      <c r="D181" s="7">
        <v>24.0</v>
      </c>
      <c r="E181" s="8" t="s">
        <v>189</v>
      </c>
      <c r="F181" s="9">
        <f>IFERROR(__xludf.DUMMYFUNCTION("SPLIT(E181, "","")"),221.0)</f>
        <v>221</v>
      </c>
      <c r="G181" s="10">
        <f>IFERROR(__xludf.DUMMYFUNCTION("""COMPUTED_VALUE"""),84.0)</f>
        <v>84</v>
      </c>
      <c r="H181" s="10">
        <f>IFERROR(__xludf.DUMMYFUNCTION("""COMPUTED_VALUE"""),96.0)</f>
        <v>96</v>
      </c>
      <c r="I181" s="10">
        <f t="shared" si="1"/>
        <v>401</v>
      </c>
      <c r="J181" s="6">
        <f t="shared" si="2"/>
        <v>0.0129903787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>
        <v>180.0</v>
      </c>
      <c r="B182" s="7">
        <v>10608.0</v>
      </c>
      <c r="C182" s="7">
        <v>1.0</v>
      </c>
      <c r="D182" s="7">
        <v>6.0</v>
      </c>
      <c r="E182" s="11" t="s">
        <v>190</v>
      </c>
      <c r="F182" s="9">
        <f>IFERROR(__xludf.DUMMYFUNCTION("SPLIT(E182, "","")"),118.0)</f>
        <v>118</v>
      </c>
      <c r="G182" s="10"/>
      <c r="H182" s="10"/>
      <c r="I182" s="10">
        <f t="shared" si="1"/>
        <v>118</v>
      </c>
      <c r="J182" s="6">
        <f t="shared" si="2"/>
        <v>0.01112368024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7">
        <v>181.0</v>
      </c>
      <c r="B183" s="7">
        <v>30309.0</v>
      </c>
      <c r="C183" s="7">
        <v>3.0</v>
      </c>
      <c r="D183" s="7">
        <v>6.0</v>
      </c>
      <c r="E183" s="8" t="s">
        <v>191</v>
      </c>
      <c r="F183" s="9">
        <f>IFERROR(__xludf.DUMMYFUNCTION("SPLIT(E183, "","")"),246.0)</f>
        <v>246</v>
      </c>
      <c r="G183" s="10">
        <f>IFERROR(__xludf.DUMMYFUNCTION("""COMPUTED_VALUE"""),76.0)</f>
        <v>76</v>
      </c>
      <c r="H183" s="10">
        <f>IFERROR(__xludf.DUMMYFUNCTION("""COMPUTED_VALUE"""),80.0)</f>
        <v>80</v>
      </c>
      <c r="I183" s="10">
        <f t="shared" si="1"/>
        <v>402</v>
      </c>
      <c r="J183" s="6">
        <f t="shared" si="2"/>
        <v>0.01326338711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>
        <v>182.0</v>
      </c>
      <c r="B184" s="7">
        <v>12327.0</v>
      </c>
      <c r="C184" s="7">
        <v>1.0</v>
      </c>
      <c r="D184" s="7">
        <v>72.0</v>
      </c>
      <c r="E184" s="11" t="s">
        <v>41</v>
      </c>
      <c r="F184" s="9">
        <f>IFERROR(__xludf.DUMMYFUNCTION("SPLIT(E184, "","")"),154.0)</f>
        <v>154</v>
      </c>
      <c r="G184" s="10"/>
      <c r="H184" s="10"/>
      <c r="I184" s="10">
        <f t="shared" si="1"/>
        <v>154</v>
      </c>
      <c r="J184" s="6">
        <f t="shared" si="2"/>
        <v>0.01249290176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7">
        <v>183.0</v>
      </c>
      <c r="B185" s="7">
        <v>15699.0</v>
      </c>
      <c r="C185" s="7">
        <v>1.0</v>
      </c>
      <c r="D185" s="7">
        <v>28.0</v>
      </c>
      <c r="E185" s="11" t="s">
        <v>192</v>
      </c>
      <c r="F185" s="9">
        <f>IFERROR(__xludf.DUMMYFUNCTION("SPLIT(E185, "","")"),181.0)</f>
        <v>181</v>
      </c>
      <c r="G185" s="10"/>
      <c r="H185" s="10"/>
      <c r="I185" s="10">
        <f t="shared" si="1"/>
        <v>181</v>
      </c>
      <c r="J185" s="6">
        <f t="shared" si="2"/>
        <v>0.01152939678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>
        <v>184.0</v>
      </c>
      <c r="B186" s="7">
        <v>25225.0</v>
      </c>
      <c r="C186" s="7">
        <v>3.0</v>
      </c>
      <c r="D186" s="7">
        <v>25.0</v>
      </c>
      <c r="E186" s="8" t="s">
        <v>193</v>
      </c>
      <c r="F186" s="9">
        <f>IFERROR(__xludf.DUMMYFUNCTION("SPLIT(E186, "","")"),62.0)</f>
        <v>62</v>
      </c>
      <c r="G186" s="10">
        <f>IFERROR(__xludf.DUMMYFUNCTION("""COMPUTED_VALUE"""),77.0)</f>
        <v>77</v>
      </c>
      <c r="H186" s="10">
        <f>IFERROR(__xludf.DUMMYFUNCTION("""COMPUTED_VALUE"""),92.0)</f>
        <v>92</v>
      </c>
      <c r="I186" s="10">
        <f t="shared" si="1"/>
        <v>231</v>
      </c>
      <c r="J186" s="6">
        <f t="shared" si="2"/>
        <v>0.009157581764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7">
        <v>185.0</v>
      </c>
      <c r="B187" s="7">
        <v>3747.0</v>
      </c>
      <c r="C187" s="7">
        <v>1.0</v>
      </c>
      <c r="D187" s="7">
        <v>60.0</v>
      </c>
      <c r="E187" s="11" t="s">
        <v>194</v>
      </c>
      <c r="F187" s="9">
        <f>IFERROR(__xludf.DUMMYFUNCTION("SPLIT(E187, "","")"),30.0)</f>
        <v>30</v>
      </c>
      <c r="G187" s="10"/>
      <c r="H187" s="10"/>
      <c r="I187" s="10">
        <f t="shared" si="1"/>
        <v>30</v>
      </c>
      <c r="J187" s="6">
        <f t="shared" si="2"/>
        <v>0.008006405124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7">
        <v>186.0</v>
      </c>
      <c r="B188" s="7">
        <v>18627.0</v>
      </c>
      <c r="C188" s="7">
        <v>2.0</v>
      </c>
      <c r="D188" s="7">
        <v>32.0</v>
      </c>
      <c r="E188" s="8" t="s">
        <v>195</v>
      </c>
      <c r="F188" s="9">
        <f>IFERROR(__xludf.DUMMYFUNCTION("SPLIT(E188, "","")"),50.0)</f>
        <v>50</v>
      </c>
      <c r="G188" s="10">
        <f>IFERROR(__xludf.DUMMYFUNCTION("""COMPUTED_VALUE"""),124.0)</f>
        <v>124</v>
      </c>
      <c r="H188" s="10"/>
      <c r="I188" s="10">
        <f t="shared" si="1"/>
        <v>174</v>
      </c>
      <c r="J188" s="6">
        <f t="shared" si="2"/>
        <v>0.009341278789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7">
        <v>187.0</v>
      </c>
      <c r="B189" s="7">
        <v>36097.0</v>
      </c>
      <c r="C189" s="7">
        <v>3.0</v>
      </c>
      <c r="D189" s="7">
        <v>40.0</v>
      </c>
      <c r="E189" s="8" t="s">
        <v>196</v>
      </c>
      <c r="F189" s="9">
        <f>IFERROR(__xludf.DUMMYFUNCTION("SPLIT(E189, "","")"),224.0)</f>
        <v>224</v>
      </c>
      <c r="G189" s="10">
        <f>IFERROR(__xludf.DUMMYFUNCTION("""COMPUTED_VALUE"""),162.0)</f>
        <v>162</v>
      </c>
      <c r="H189" s="10">
        <f>IFERROR(__xludf.DUMMYFUNCTION("""COMPUTED_VALUE"""),173.0)</f>
        <v>173</v>
      </c>
      <c r="I189" s="10">
        <f t="shared" si="1"/>
        <v>559</v>
      </c>
      <c r="J189" s="6">
        <f t="shared" si="2"/>
        <v>0.01548605147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>
        <v>188.0</v>
      </c>
      <c r="B190" s="7">
        <v>16124.0</v>
      </c>
      <c r="C190" s="7">
        <v>3.0</v>
      </c>
      <c r="D190" s="7">
        <v>18.0</v>
      </c>
      <c r="E190" s="8" t="s">
        <v>197</v>
      </c>
      <c r="F190" s="9">
        <f>IFERROR(__xludf.DUMMYFUNCTION("SPLIT(E190, "","")"),120.0)</f>
        <v>120</v>
      </c>
      <c r="G190" s="10">
        <f>IFERROR(__xludf.DUMMYFUNCTION("""COMPUTED_VALUE"""),24.0)</f>
        <v>24</v>
      </c>
      <c r="H190" s="10">
        <f>IFERROR(__xludf.DUMMYFUNCTION("""COMPUTED_VALUE"""),71.0)</f>
        <v>71</v>
      </c>
      <c r="I190" s="10">
        <f t="shared" si="1"/>
        <v>215</v>
      </c>
      <c r="J190" s="6">
        <f t="shared" si="2"/>
        <v>0.01333416026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7">
        <v>189.0</v>
      </c>
      <c r="B191" s="7">
        <v>22735.0</v>
      </c>
      <c r="C191" s="7">
        <v>3.0</v>
      </c>
      <c r="D191" s="7">
        <v>72.0</v>
      </c>
      <c r="E191" s="8" t="s">
        <v>198</v>
      </c>
      <c r="F191" s="9">
        <f>IFERROR(__xludf.DUMMYFUNCTION("SPLIT(E191, "","")"),21.0)</f>
        <v>21</v>
      </c>
      <c r="G191" s="10">
        <f>IFERROR(__xludf.DUMMYFUNCTION("""COMPUTED_VALUE"""),114.0)</f>
        <v>114</v>
      </c>
      <c r="H191" s="10">
        <f>IFERROR(__xludf.DUMMYFUNCTION("""COMPUTED_VALUE"""),102.0)</f>
        <v>102</v>
      </c>
      <c r="I191" s="10">
        <f t="shared" si="1"/>
        <v>237</v>
      </c>
      <c r="J191" s="6">
        <f t="shared" si="2"/>
        <v>0.01042445569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>
        <v>190.0</v>
      </c>
      <c r="B192" s="7">
        <v>19385.0</v>
      </c>
      <c r="C192" s="7">
        <v>2.0</v>
      </c>
      <c r="D192" s="7">
        <v>30.0</v>
      </c>
      <c r="E192" s="8" t="s">
        <v>199</v>
      </c>
      <c r="F192" s="9">
        <f>IFERROR(__xludf.DUMMYFUNCTION("SPLIT(E192, "","")"),254.0)</f>
        <v>254</v>
      </c>
      <c r="G192" s="10">
        <f>IFERROR(__xludf.DUMMYFUNCTION("""COMPUTED_VALUE"""),53.0)</f>
        <v>53</v>
      </c>
      <c r="H192" s="10"/>
      <c r="I192" s="10">
        <f t="shared" si="1"/>
        <v>307</v>
      </c>
      <c r="J192" s="6">
        <f t="shared" si="2"/>
        <v>0.01583698736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7">
        <v>191.0</v>
      </c>
      <c r="B193" s="7">
        <v>25088.0</v>
      </c>
      <c r="C193" s="7">
        <v>3.0</v>
      </c>
      <c r="D193" s="7">
        <v>66.0</v>
      </c>
      <c r="E193" s="8" t="s">
        <v>200</v>
      </c>
      <c r="F193" s="9">
        <f>IFERROR(__xludf.DUMMYFUNCTION("SPLIT(E193, "","")"),36.0)</f>
        <v>36</v>
      </c>
      <c r="G193" s="10">
        <f>IFERROR(__xludf.DUMMYFUNCTION("""COMPUTED_VALUE"""),273.0)</f>
        <v>273</v>
      </c>
      <c r="H193" s="10">
        <f>IFERROR(__xludf.DUMMYFUNCTION("""COMPUTED_VALUE"""),34.0)</f>
        <v>34</v>
      </c>
      <c r="I193" s="10">
        <f t="shared" si="1"/>
        <v>343</v>
      </c>
      <c r="J193" s="6">
        <f t="shared" si="2"/>
        <v>0.013671875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>
        <v>192.0</v>
      </c>
      <c r="B194" s="7">
        <v>4113.0</v>
      </c>
      <c r="C194" s="7">
        <v>1.0</v>
      </c>
      <c r="D194" s="7">
        <v>57.0</v>
      </c>
      <c r="E194" s="11" t="s">
        <v>26</v>
      </c>
      <c r="F194" s="9">
        <f>IFERROR(__xludf.DUMMYFUNCTION("SPLIT(E194, "","")"),31.0)</f>
        <v>31</v>
      </c>
      <c r="G194" s="10"/>
      <c r="H194" s="10"/>
      <c r="I194" s="10">
        <f t="shared" si="1"/>
        <v>31</v>
      </c>
      <c r="J194" s="12">
        <f t="shared" si="2"/>
        <v>0.007537077559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7">
        <v>193.0</v>
      </c>
      <c r="B195" s="7">
        <v>15115.0</v>
      </c>
      <c r="C195" s="7">
        <v>1.0</v>
      </c>
      <c r="D195" s="7">
        <v>16.0</v>
      </c>
      <c r="E195" s="11" t="s">
        <v>201</v>
      </c>
      <c r="F195" s="9">
        <f>IFERROR(__xludf.DUMMYFUNCTION("SPLIT(E195, "","")"),236.0)</f>
        <v>236</v>
      </c>
      <c r="G195" s="10"/>
      <c r="H195" s="10"/>
      <c r="I195" s="10">
        <f t="shared" si="1"/>
        <v>236</v>
      </c>
      <c r="J195" s="6">
        <f t="shared" si="2"/>
        <v>0.01561362885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>
        <v>194.0</v>
      </c>
      <c r="B196" s="7">
        <v>22218.0</v>
      </c>
      <c r="C196" s="7">
        <v>3.0</v>
      </c>
      <c r="D196" s="7">
        <v>55.0</v>
      </c>
      <c r="E196" s="8" t="s">
        <v>202</v>
      </c>
      <c r="F196" s="9">
        <f>IFERROR(__xludf.DUMMYFUNCTION("SPLIT(E196, "","")"),231.0)</f>
        <v>231</v>
      </c>
      <c r="G196" s="10">
        <f>IFERROR(__xludf.DUMMYFUNCTION("""COMPUTED_VALUE"""),66.0)</f>
        <v>66</v>
      </c>
      <c r="H196" s="10">
        <f>IFERROR(__xludf.DUMMYFUNCTION("""COMPUTED_VALUE"""),14.0)</f>
        <v>14</v>
      </c>
      <c r="I196" s="10">
        <f t="shared" si="1"/>
        <v>311</v>
      </c>
      <c r="J196" s="6">
        <f t="shared" si="2"/>
        <v>0.01399765956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7">
        <v>195.0</v>
      </c>
      <c r="B197" s="7">
        <v>12145.0</v>
      </c>
      <c r="C197" s="7">
        <v>1.0</v>
      </c>
      <c r="D197" s="7">
        <v>65.0</v>
      </c>
      <c r="E197" s="11" t="s">
        <v>203</v>
      </c>
      <c r="F197" s="9">
        <f>IFERROR(__xludf.DUMMYFUNCTION("SPLIT(E197, "","")"),146.0)</f>
        <v>146</v>
      </c>
      <c r="G197" s="10"/>
      <c r="H197" s="10"/>
      <c r="I197" s="10">
        <f t="shared" si="1"/>
        <v>146</v>
      </c>
      <c r="J197" s="6">
        <f t="shared" si="2"/>
        <v>0.01202140799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>
        <v>196.0</v>
      </c>
      <c r="B198" s="7">
        <v>3990.0</v>
      </c>
      <c r="C198" s="7">
        <v>1.0</v>
      </c>
      <c r="D198" s="7">
        <v>49.0</v>
      </c>
      <c r="E198" s="11" t="s">
        <v>177</v>
      </c>
      <c r="F198" s="9">
        <f>IFERROR(__xludf.DUMMYFUNCTION("SPLIT(E198, "","")"),67.0)</f>
        <v>67</v>
      </c>
      <c r="G198" s="10"/>
      <c r="H198" s="10"/>
      <c r="I198" s="10">
        <f t="shared" si="1"/>
        <v>67</v>
      </c>
      <c r="J198" s="6">
        <f t="shared" si="2"/>
        <v>0.01679197995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7">
        <v>197.0</v>
      </c>
      <c r="B199" s="7">
        <v>26540.0</v>
      </c>
      <c r="C199" s="7">
        <v>3.0</v>
      </c>
      <c r="D199" s="7">
        <v>14.0</v>
      </c>
      <c r="E199" s="8" t="s">
        <v>204</v>
      </c>
      <c r="F199" s="9">
        <f>IFERROR(__xludf.DUMMYFUNCTION("SPLIT(E199, "","")"),88.0)</f>
        <v>88</v>
      </c>
      <c r="G199" s="10">
        <f>IFERROR(__xludf.DUMMYFUNCTION("""COMPUTED_VALUE"""),24.0)</f>
        <v>24</v>
      </c>
      <c r="H199" s="10">
        <f>IFERROR(__xludf.DUMMYFUNCTION("""COMPUTED_VALUE"""),160.0)</f>
        <v>160</v>
      </c>
      <c r="I199" s="10">
        <f t="shared" si="1"/>
        <v>272</v>
      </c>
      <c r="J199" s="6">
        <f t="shared" si="2"/>
        <v>0.01024868124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>
        <v>198.0</v>
      </c>
      <c r="B200" s="7">
        <v>11163.0</v>
      </c>
      <c r="C200" s="7">
        <v>2.0</v>
      </c>
      <c r="D200" s="7">
        <v>64.0</v>
      </c>
      <c r="E200" s="8" t="s">
        <v>205</v>
      </c>
      <c r="F200" s="9">
        <f>IFERROR(__xludf.DUMMYFUNCTION("SPLIT(E200, "","")"),127.0)</f>
        <v>127</v>
      </c>
      <c r="G200" s="10">
        <f>IFERROR(__xludf.DUMMYFUNCTION("""COMPUTED_VALUE"""),57.0)</f>
        <v>57</v>
      </c>
      <c r="H200" s="10"/>
      <c r="I200" s="10">
        <f t="shared" si="1"/>
        <v>184</v>
      </c>
      <c r="J200" s="6">
        <f t="shared" si="2"/>
        <v>0.01648302428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">
        <v>199.0</v>
      </c>
      <c r="B201" s="7">
        <v>18842.0</v>
      </c>
      <c r="C201" s="7">
        <v>2.0</v>
      </c>
      <c r="D201" s="7">
        <v>36.0</v>
      </c>
      <c r="E201" s="8" t="s">
        <v>206</v>
      </c>
      <c r="F201" s="9">
        <f>IFERROR(__xludf.DUMMYFUNCTION("SPLIT(E201, "","")"),246.0)</f>
        <v>246</v>
      </c>
      <c r="G201" s="10">
        <f>IFERROR(__xludf.DUMMYFUNCTION("""COMPUTED_VALUE"""),36.0)</f>
        <v>36</v>
      </c>
      <c r="H201" s="10"/>
      <c r="I201" s="10">
        <f t="shared" si="1"/>
        <v>282</v>
      </c>
      <c r="J201" s="6">
        <f t="shared" si="2"/>
        <v>0.01496656406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>
        <v>200.0</v>
      </c>
      <c r="B202" s="7">
        <v>13266.0</v>
      </c>
      <c r="C202" s="7">
        <v>3.0</v>
      </c>
      <c r="D202" s="7">
        <v>54.0</v>
      </c>
      <c r="E202" s="8" t="s">
        <v>207</v>
      </c>
      <c r="F202" s="9">
        <f>IFERROR(__xludf.DUMMYFUNCTION("SPLIT(E202, "","")"),20.0)</f>
        <v>20</v>
      </c>
      <c r="G202" s="10">
        <f>IFERROR(__xludf.DUMMYFUNCTION("""COMPUTED_VALUE"""),38.0)</f>
        <v>38</v>
      </c>
      <c r="H202" s="10">
        <f>IFERROR(__xludf.DUMMYFUNCTION("""COMPUTED_VALUE"""),52.0)</f>
        <v>52</v>
      </c>
      <c r="I202" s="10">
        <f t="shared" si="1"/>
        <v>110</v>
      </c>
      <c r="J202" s="6">
        <f t="shared" si="2"/>
        <v>0.008291873964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7">
        <v>201.0</v>
      </c>
      <c r="B203" s="7">
        <v>5386.0</v>
      </c>
      <c r="C203" s="7">
        <v>2.0</v>
      </c>
      <c r="D203" s="7">
        <v>60.0</v>
      </c>
      <c r="E203" s="8" t="s">
        <v>208</v>
      </c>
      <c r="F203" s="9">
        <f>IFERROR(__xludf.DUMMYFUNCTION("SPLIT(E203, "","")"),12.0)</f>
        <v>12</v>
      </c>
      <c r="G203" s="10">
        <f>IFERROR(__xludf.DUMMYFUNCTION("""COMPUTED_VALUE"""),30.0)</f>
        <v>30</v>
      </c>
      <c r="H203" s="10"/>
      <c r="I203" s="10">
        <f t="shared" si="1"/>
        <v>42</v>
      </c>
      <c r="J203" s="6">
        <f t="shared" si="2"/>
        <v>0.007797994801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>
        <v>202.0</v>
      </c>
      <c r="B204" s="7">
        <v>8797.0</v>
      </c>
      <c r="C204" s="7">
        <v>1.0</v>
      </c>
      <c r="D204" s="7">
        <v>9.0</v>
      </c>
      <c r="E204" s="11" t="s">
        <v>209</v>
      </c>
      <c r="F204" s="9">
        <f>IFERROR(__xludf.DUMMYFUNCTION("SPLIT(E204, "","")"),47.0)</f>
        <v>47</v>
      </c>
      <c r="G204" s="10"/>
      <c r="H204" s="10"/>
      <c r="I204" s="10">
        <f t="shared" si="1"/>
        <v>47</v>
      </c>
      <c r="J204" s="12">
        <f t="shared" si="2"/>
        <v>0.005342730476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">
        <v>203.0</v>
      </c>
      <c r="B205" s="7">
        <v>6734.0</v>
      </c>
      <c r="C205" s="7">
        <v>2.0</v>
      </c>
      <c r="D205" s="7">
        <v>24.0</v>
      </c>
      <c r="E205" s="8" t="s">
        <v>210</v>
      </c>
      <c r="F205" s="9">
        <f>IFERROR(__xludf.DUMMYFUNCTION("SPLIT(E205, "","")"),16.0)</f>
        <v>16</v>
      </c>
      <c r="G205" s="10">
        <f>IFERROR(__xludf.DUMMYFUNCTION("""COMPUTED_VALUE"""),25.0)</f>
        <v>25</v>
      </c>
      <c r="H205" s="10"/>
      <c r="I205" s="10">
        <f t="shared" si="1"/>
        <v>41</v>
      </c>
      <c r="J205" s="12">
        <f t="shared" si="2"/>
        <v>0.006088506089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>
        <v>204.0</v>
      </c>
      <c r="B206" s="7">
        <v>26116.0</v>
      </c>
      <c r="C206" s="7">
        <v>3.0</v>
      </c>
      <c r="D206" s="7">
        <v>50.0</v>
      </c>
      <c r="E206" s="8" t="s">
        <v>211</v>
      </c>
      <c r="F206" s="9">
        <f>IFERROR(__xludf.DUMMYFUNCTION("SPLIT(E206, "","")"),108.0)</f>
        <v>108</v>
      </c>
      <c r="G206" s="10">
        <f>IFERROR(__xludf.DUMMYFUNCTION("""COMPUTED_VALUE"""),115.0)</f>
        <v>115</v>
      </c>
      <c r="H206" s="10">
        <f>IFERROR(__xludf.DUMMYFUNCTION("""COMPUTED_VALUE"""),176.0)</f>
        <v>176</v>
      </c>
      <c r="I206" s="10">
        <f t="shared" si="1"/>
        <v>399</v>
      </c>
      <c r="J206" s="6">
        <f t="shared" si="2"/>
        <v>0.0152779905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">
        <v>205.0</v>
      </c>
      <c r="B207" s="7">
        <v>9708.0</v>
      </c>
      <c r="C207" s="7">
        <v>2.0</v>
      </c>
      <c r="D207" s="7">
        <v>42.0</v>
      </c>
      <c r="E207" s="8" t="s">
        <v>212</v>
      </c>
      <c r="F207" s="9">
        <f>IFERROR(__xludf.DUMMYFUNCTION("SPLIT(E207, "","")"),69.0)</f>
        <v>69</v>
      </c>
      <c r="G207" s="10">
        <f>IFERROR(__xludf.DUMMYFUNCTION("""COMPUTED_VALUE"""),25.0)</f>
        <v>25</v>
      </c>
      <c r="H207" s="10"/>
      <c r="I207" s="10">
        <f t="shared" si="1"/>
        <v>94</v>
      </c>
      <c r="J207" s="6">
        <f t="shared" si="2"/>
        <v>0.009682735888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>
        <v>206.0</v>
      </c>
      <c r="B208" s="7">
        <v>20537.0</v>
      </c>
      <c r="C208" s="7">
        <v>3.0</v>
      </c>
      <c r="D208" s="7">
        <v>36.0</v>
      </c>
      <c r="E208" s="8" t="s">
        <v>213</v>
      </c>
      <c r="F208" s="9">
        <f>IFERROR(__xludf.DUMMYFUNCTION("SPLIT(E208, "","")"),194.0)</f>
        <v>194</v>
      </c>
      <c r="G208" s="10">
        <f>IFERROR(__xludf.DUMMYFUNCTION("""COMPUTED_VALUE"""),4.0)</f>
        <v>4</v>
      </c>
      <c r="H208" s="10">
        <f>IFERROR(__xludf.DUMMYFUNCTION("""COMPUTED_VALUE"""),150.0)</f>
        <v>150</v>
      </c>
      <c r="I208" s="10">
        <f t="shared" si="1"/>
        <v>348</v>
      </c>
      <c r="J208" s="6">
        <f t="shared" si="2"/>
        <v>0.01694502605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7">
        <v>207.0</v>
      </c>
      <c r="B209" s="7">
        <v>8666.0</v>
      </c>
      <c r="C209" s="7">
        <v>3.0</v>
      </c>
      <c r="D209" s="7">
        <v>8.0</v>
      </c>
      <c r="E209" s="11" t="s">
        <v>214</v>
      </c>
      <c r="F209" s="9">
        <f>IFERROR(__xludf.DUMMYFUNCTION("SPLIT(E209, "","")"),27.0)</f>
        <v>27</v>
      </c>
      <c r="G209" s="10">
        <f>IFERROR(__xludf.DUMMYFUNCTION("""COMPUTED_VALUE"""),10.0)</f>
        <v>10</v>
      </c>
      <c r="H209" s="10">
        <f>IFERROR(__xludf.DUMMYFUNCTION("""COMPUTED_VALUE"""),28.0)</f>
        <v>28</v>
      </c>
      <c r="I209" s="10">
        <f t="shared" si="1"/>
        <v>65</v>
      </c>
      <c r="J209" s="6">
        <f t="shared" si="2"/>
        <v>0.007500576967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>
        <v>208.0</v>
      </c>
      <c r="B210" s="7">
        <v>12354.0</v>
      </c>
      <c r="C210" s="7">
        <v>3.0</v>
      </c>
      <c r="D210" s="7">
        <v>30.0</v>
      </c>
      <c r="E210" s="8" t="s">
        <v>215</v>
      </c>
      <c r="F210" s="9">
        <f>IFERROR(__xludf.DUMMYFUNCTION("SPLIT(E210, "","")"),53.0)</f>
        <v>53</v>
      </c>
      <c r="G210" s="10">
        <f>IFERROR(__xludf.DUMMYFUNCTION("""COMPUTED_VALUE"""),25.0)</f>
        <v>25</v>
      </c>
      <c r="H210" s="10">
        <f>IFERROR(__xludf.DUMMYFUNCTION("""COMPUTED_VALUE"""),18.0)</f>
        <v>18</v>
      </c>
      <c r="I210" s="10">
        <f t="shared" si="1"/>
        <v>96</v>
      </c>
      <c r="J210" s="6">
        <f t="shared" si="2"/>
        <v>0.007770762506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7">
        <v>209.0</v>
      </c>
      <c r="B211" s="7">
        <v>15728.0</v>
      </c>
      <c r="C211" s="7">
        <v>1.0</v>
      </c>
      <c r="D211" s="7">
        <v>46.0</v>
      </c>
      <c r="E211" s="11" t="s">
        <v>216</v>
      </c>
      <c r="F211" s="9">
        <f>IFERROR(__xludf.DUMMYFUNCTION("SPLIT(E211, "","")"),176.0)</f>
        <v>176</v>
      </c>
      <c r="G211" s="10"/>
      <c r="H211" s="10"/>
      <c r="I211" s="10">
        <f t="shared" si="1"/>
        <v>176</v>
      </c>
      <c r="J211" s="6">
        <f t="shared" si="2"/>
        <v>0.01119023398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>
        <v>210.0</v>
      </c>
      <c r="B212" s="7">
        <v>6123.0</v>
      </c>
      <c r="C212" s="7">
        <v>3.0</v>
      </c>
      <c r="D212" s="7">
        <v>25.0</v>
      </c>
      <c r="E212" s="8" t="s">
        <v>217</v>
      </c>
      <c r="F212" s="9">
        <f>IFERROR(__xludf.DUMMYFUNCTION("SPLIT(E212, "","")"),22.0)</f>
        <v>22</v>
      </c>
      <c r="G212" s="10">
        <f>IFERROR(__xludf.DUMMYFUNCTION("""COMPUTED_VALUE"""),13.0)</f>
        <v>13</v>
      </c>
      <c r="H212" s="10">
        <f>IFERROR(__xludf.DUMMYFUNCTION("""COMPUTED_VALUE"""),59.0)</f>
        <v>59</v>
      </c>
      <c r="I212" s="10">
        <f t="shared" si="1"/>
        <v>94</v>
      </c>
      <c r="J212" s="6">
        <f t="shared" si="2"/>
        <v>0.01535195166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7">
        <v>211.0</v>
      </c>
      <c r="B213" s="7">
        <v>21349.0</v>
      </c>
      <c r="C213" s="7">
        <v>3.0</v>
      </c>
      <c r="D213" s="7">
        <v>22.0</v>
      </c>
      <c r="E213" s="8" t="s">
        <v>218</v>
      </c>
      <c r="F213" s="9">
        <f>IFERROR(__xludf.DUMMYFUNCTION("SPLIT(E213, "","")"),71.0)</f>
        <v>71</v>
      </c>
      <c r="G213" s="10">
        <f>IFERROR(__xludf.DUMMYFUNCTION("""COMPUTED_VALUE"""),230.0)</f>
        <v>230</v>
      </c>
      <c r="H213" s="10">
        <f>IFERROR(__xludf.DUMMYFUNCTION("""COMPUTED_VALUE"""),19.0)</f>
        <v>19</v>
      </c>
      <c r="I213" s="10">
        <f t="shared" si="1"/>
        <v>320</v>
      </c>
      <c r="J213" s="6">
        <f t="shared" si="2"/>
        <v>0.01498899246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>
        <v>212.0</v>
      </c>
      <c r="B214" s="7">
        <v>8167.0</v>
      </c>
      <c r="C214" s="7">
        <v>3.0</v>
      </c>
      <c r="D214" s="7">
        <v>9.0</v>
      </c>
      <c r="E214" s="8" t="s">
        <v>219</v>
      </c>
      <c r="F214" s="9">
        <f>IFERROR(__xludf.DUMMYFUNCTION("SPLIT(E214, "","")"),15.0)</f>
        <v>15</v>
      </c>
      <c r="G214" s="10">
        <f>IFERROR(__xludf.DUMMYFUNCTION("""COMPUTED_VALUE"""),33.0)</f>
        <v>33</v>
      </c>
      <c r="H214" s="10">
        <f>IFERROR(__xludf.DUMMYFUNCTION("""COMPUTED_VALUE"""),35.0)</f>
        <v>35</v>
      </c>
      <c r="I214" s="10">
        <f t="shared" si="1"/>
        <v>83</v>
      </c>
      <c r="J214" s="6">
        <f t="shared" si="2"/>
        <v>0.0101628505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7">
        <v>213.0</v>
      </c>
      <c r="B215" s="7">
        <v>6764.0</v>
      </c>
      <c r="C215" s="7">
        <v>2.0</v>
      </c>
      <c r="D215" s="7">
        <v>36.0</v>
      </c>
      <c r="E215" s="8" t="s">
        <v>220</v>
      </c>
      <c r="F215" s="9">
        <f>IFERROR(__xludf.DUMMYFUNCTION("SPLIT(E215, "","")"),58.0)</f>
        <v>58</v>
      </c>
      <c r="G215" s="10">
        <f>IFERROR(__xludf.DUMMYFUNCTION("""COMPUTED_VALUE"""),47.0)</f>
        <v>47</v>
      </c>
      <c r="H215" s="10"/>
      <c r="I215" s="10">
        <f t="shared" si="1"/>
        <v>105</v>
      </c>
      <c r="J215" s="6">
        <f t="shared" si="2"/>
        <v>0.01552335896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>
        <v>214.0</v>
      </c>
      <c r="B216" s="7">
        <v>4331.0</v>
      </c>
      <c r="C216" s="7">
        <v>1.0</v>
      </c>
      <c r="D216" s="7">
        <v>40.0</v>
      </c>
      <c r="E216" s="11" t="s">
        <v>221</v>
      </c>
      <c r="F216" s="9">
        <f>IFERROR(__xludf.DUMMYFUNCTION("SPLIT(E216, "","")"),46.0)</f>
        <v>46</v>
      </c>
      <c r="G216" s="10"/>
      <c r="H216" s="10"/>
      <c r="I216" s="10">
        <f t="shared" si="1"/>
        <v>46</v>
      </c>
      <c r="J216" s="6">
        <f t="shared" si="2"/>
        <v>0.01062110367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7">
        <v>215.0</v>
      </c>
      <c r="B217" s="7">
        <v>9574.0</v>
      </c>
      <c r="C217" s="7">
        <v>1.0</v>
      </c>
      <c r="D217" s="7">
        <v>56.0</v>
      </c>
      <c r="E217" s="11" t="s">
        <v>222</v>
      </c>
      <c r="F217" s="9">
        <f>IFERROR(__xludf.DUMMYFUNCTION("SPLIT(E217, "","")"),100.0)</f>
        <v>100</v>
      </c>
      <c r="G217" s="10"/>
      <c r="H217" s="10"/>
      <c r="I217" s="10">
        <f t="shared" si="1"/>
        <v>100</v>
      </c>
      <c r="J217" s="6">
        <f t="shared" si="2"/>
        <v>0.01044495509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>
        <v>216.0</v>
      </c>
      <c r="B218" s="7">
        <v>3541.0</v>
      </c>
      <c r="C218" s="7">
        <v>2.0</v>
      </c>
      <c r="D218" s="7">
        <v>16.0</v>
      </c>
      <c r="E218" s="8" t="s">
        <v>223</v>
      </c>
      <c r="F218" s="9">
        <f>IFERROR(__xludf.DUMMYFUNCTION("SPLIT(E218, "","")"),46.0)</f>
        <v>46</v>
      </c>
      <c r="G218" s="10">
        <f>IFERROR(__xludf.DUMMYFUNCTION("""COMPUTED_VALUE"""),15.0)</f>
        <v>15</v>
      </c>
      <c r="H218" s="10"/>
      <c r="I218" s="10">
        <f t="shared" si="1"/>
        <v>61</v>
      </c>
      <c r="J218" s="6">
        <f t="shared" si="2"/>
        <v>0.0172267721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7">
        <v>217.0</v>
      </c>
      <c r="B219" s="7">
        <v>5556.0</v>
      </c>
      <c r="C219" s="7">
        <v>2.0</v>
      </c>
      <c r="D219" s="7">
        <v>14.0</v>
      </c>
      <c r="E219" s="8" t="s">
        <v>224</v>
      </c>
      <c r="F219" s="9">
        <f>IFERROR(__xludf.DUMMYFUNCTION("SPLIT(E219, "","")"),57.0)</f>
        <v>57</v>
      </c>
      <c r="G219" s="10">
        <f>IFERROR(__xludf.DUMMYFUNCTION("""COMPUTED_VALUE"""),10.0)</f>
        <v>10</v>
      </c>
      <c r="H219" s="10"/>
      <c r="I219" s="10">
        <f t="shared" si="1"/>
        <v>67</v>
      </c>
      <c r="J219" s="6">
        <f t="shared" si="2"/>
        <v>0.01205903528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7">
        <v>218.0</v>
      </c>
      <c r="B220" s="7">
        <v>8160.0</v>
      </c>
      <c r="C220" s="7">
        <v>2.0</v>
      </c>
      <c r="D220" s="7">
        <v>12.0</v>
      </c>
      <c r="E220" s="8" t="s">
        <v>225</v>
      </c>
      <c r="F220" s="9">
        <f>IFERROR(__xludf.DUMMYFUNCTION("SPLIT(E220, "","")"),34.0)</f>
        <v>34</v>
      </c>
      <c r="G220" s="10">
        <f>IFERROR(__xludf.DUMMYFUNCTION("""COMPUTED_VALUE"""),55.0)</f>
        <v>55</v>
      </c>
      <c r="H220" s="10"/>
      <c r="I220" s="10">
        <f t="shared" si="1"/>
        <v>89</v>
      </c>
      <c r="J220" s="6">
        <f t="shared" si="2"/>
        <v>0.01090686275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7">
        <v>219.0</v>
      </c>
      <c r="B221" s="7">
        <v>27270.0</v>
      </c>
      <c r="C221" s="7">
        <v>3.0</v>
      </c>
      <c r="D221" s="7">
        <v>25.0</v>
      </c>
      <c r="E221" s="8" t="s">
        <v>226</v>
      </c>
      <c r="F221" s="9">
        <f>IFERROR(__xludf.DUMMYFUNCTION("SPLIT(E221, "","")"),148.0)</f>
        <v>148</v>
      </c>
      <c r="G221" s="10">
        <f>IFERROR(__xludf.DUMMYFUNCTION("""COMPUTED_VALUE"""),61.0)</f>
        <v>61</v>
      </c>
      <c r="H221" s="10">
        <f>IFERROR(__xludf.DUMMYFUNCTION("""COMPUTED_VALUE"""),220.0)</f>
        <v>220</v>
      </c>
      <c r="I221" s="10">
        <f t="shared" si="1"/>
        <v>429</v>
      </c>
      <c r="J221" s="6">
        <f t="shared" si="2"/>
        <v>0.01573157316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>
        <v>220.0</v>
      </c>
      <c r="B222" s="7">
        <v>18971.0</v>
      </c>
      <c r="C222" s="7">
        <v>3.0</v>
      </c>
      <c r="D222" s="7">
        <v>72.0</v>
      </c>
      <c r="E222" s="8" t="s">
        <v>227</v>
      </c>
      <c r="F222" s="9">
        <f>IFERROR(__xludf.DUMMYFUNCTION("SPLIT(E222, "","")"),72.0)</f>
        <v>72</v>
      </c>
      <c r="G222" s="10">
        <f>IFERROR(__xludf.DUMMYFUNCTION("""COMPUTED_VALUE"""),11.0)</f>
        <v>11</v>
      </c>
      <c r="H222" s="10">
        <f>IFERROR(__xludf.DUMMYFUNCTION("""COMPUTED_VALUE"""),113.0)</f>
        <v>113</v>
      </c>
      <c r="I222" s="10">
        <f t="shared" si="1"/>
        <v>196</v>
      </c>
      <c r="J222" s="6">
        <f t="shared" si="2"/>
        <v>0.01033155869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7">
        <v>221.0</v>
      </c>
      <c r="B223" s="7">
        <v>17665.0</v>
      </c>
      <c r="C223" s="7">
        <v>2.0</v>
      </c>
      <c r="D223" s="7">
        <v>49.0</v>
      </c>
      <c r="E223" s="8" t="s">
        <v>228</v>
      </c>
      <c r="F223" s="9">
        <f>IFERROR(__xludf.DUMMYFUNCTION("SPLIT(E223, "","")"),152.0)</f>
        <v>152</v>
      </c>
      <c r="G223" s="10">
        <f>IFERROR(__xludf.DUMMYFUNCTION("""COMPUTED_VALUE"""),8.0)</f>
        <v>8</v>
      </c>
      <c r="H223" s="10"/>
      <c r="I223" s="10">
        <f t="shared" si="1"/>
        <v>160</v>
      </c>
      <c r="J223" s="6">
        <f t="shared" si="2"/>
        <v>0.009057458251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>
        <v>222.0</v>
      </c>
      <c r="B224" s="7">
        <v>7146.0</v>
      </c>
      <c r="C224" s="7">
        <v>2.0</v>
      </c>
      <c r="D224" s="7">
        <v>36.0</v>
      </c>
      <c r="E224" s="8" t="s">
        <v>229</v>
      </c>
      <c r="F224" s="9">
        <f>IFERROR(__xludf.DUMMYFUNCTION("SPLIT(E224, "","")"),16.0)</f>
        <v>16</v>
      </c>
      <c r="G224" s="10">
        <f>IFERROR(__xludf.DUMMYFUNCTION("""COMPUTED_VALUE"""),70.0)</f>
        <v>70</v>
      </c>
      <c r="H224" s="10"/>
      <c r="I224" s="10">
        <f t="shared" si="1"/>
        <v>86</v>
      </c>
      <c r="J224" s="6">
        <f t="shared" si="2"/>
        <v>0.01203470473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7">
        <v>223.0</v>
      </c>
      <c r="B225" s="7">
        <v>17376.0</v>
      </c>
      <c r="C225" s="7">
        <v>2.0</v>
      </c>
      <c r="D225" s="7">
        <v>33.0</v>
      </c>
      <c r="E225" s="8" t="s">
        <v>230</v>
      </c>
      <c r="F225" s="9">
        <f>IFERROR(__xludf.DUMMYFUNCTION("SPLIT(E225, "","")"),60.0)</f>
        <v>60</v>
      </c>
      <c r="G225" s="10">
        <f>IFERROR(__xludf.DUMMYFUNCTION("""COMPUTED_VALUE"""),89.0)</f>
        <v>89</v>
      </c>
      <c r="H225" s="10"/>
      <c r="I225" s="10">
        <f t="shared" si="1"/>
        <v>149</v>
      </c>
      <c r="J225" s="6">
        <f t="shared" si="2"/>
        <v>0.008575046041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>
        <v>224.0</v>
      </c>
      <c r="B226" s="7">
        <v>11562.0</v>
      </c>
      <c r="C226" s="7">
        <v>2.0</v>
      </c>
      <c r="D226" s="7">
        <v>20.0</v>
      </c>
      <c r="E226" s="8" t="s">
        <v>231</v>
      </c>
      <c r="F226" s="9">
        <f>IFERROR(__xludf.DUMMYFUNCTION("SPLIT(E226, "","")"),43.0)</f>
        <v>43</v>
      </c>
      <c r="G226" s="10">
        <f>IFERROR(__xludf.DUMMYFUNCTION("""COMPUTED_VALUE"""),53.0)</f>
        <v>53</v>
      </c>
      <c r="H226" s="10"/>
      <c r="I226" s="10">
        <f t="shared" si="1"/>
        <v>96</v>
      </c>
      <c r="J226" s="6">
        <f t="shared" si="2"/>
        <v>0.008303061754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7">
        <v>225.0</v>
      </c>
      <c r="B227" s="7">
        <v>15563.0</v>
      </c>
      <c r="C227" s="7">
        <v>1.0</v>
      </c>
      <c r="D227" s="7">
        <v>25.0</v>
      </c>
      <c r="E227" s="11" t="s">
        <v>79</v>
      </c>
      <c r="F227" s="9">
        <f>IFERROR(__xludf.DUMMYFUNCTION("SPLIT(E227, "","")"),169.0)</f>
        <v>169</v>
      </c>
      <c r="G227" s="10"/>
      <c r="H227" s="10"/>
      <c r="I227" s="10">
        <f t="shared" si="1"/>
        <v>169</v>
      </c>
      <c r="J227" s="6">
        <f t="shared" si="2"/>
        <v>0.01085908886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>
        <v>226.0</v>
      </c>
      <c r="B228" s="7">
        <v>3805.0</v>
      </c>
      <c r="C228" s="7">
        <v>2.0</v>
      </c>
      <c r="D228" s="7">
        <v>24.0</v>
      </c>
      <c r="E228" s="8" t="s">
        <v>232</v>
      </c>
      <c r="F228" s="9">
        <f>IFERROR(__xludf.DUMMYFUNCTION("SPLIT(E228, "","")"),15.0)</f>
        <v>15</v>
      </c>
      <c r="G228" s="10">
        <f>IFERROR(__xludf.DUMMYFUNCTION("""COMPUTED_VALUE"""),37.0)</f>
        <v>37</v>
      </c>
      <c r="H228" s="10"/>
      <c r="I228" s="10">
        <f t="shared" si="1"/>
        <v>52</v>
      </c>
      <c r="J228" s="6">
        <f t="shared" si="2"/>
        <v>0.01366622865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7">
        <v>227.0</v>
      </c>
      <c r="B229" s="7">
        <v>15930.0</v>
      </c>
      <c r="C229" s="7">
        <v>2.0</v>
      </c>
      <c r="D229" s="7">
        <v>8.0</v>
      </c>
      <c r="E229" s="8" t="s">
        <v>233</v>
      </c>
      <c r="F229" s="9">
        <f>IFERROR(__xludf.DUMMYFUNCTION("SPLIT(E229, "","")"),10.0)</f>
        <v>10</v>
      </c>
      <c r="G229" s="10">
        <f>IFERROR(__xludf.DUMMYFUNCTION("""COMPUTED_VALUE"""),246.0)</f>
        <v>246</v>
      </c>
      <c r="H229" s="10"/>
      <c r="I229" s="10">
        <f t="shared" si="1"/>
        <v>256</v>
      </c>
      <c r="J229" s="6">
        <f t="shared" si="2"/>
        <v>0.0160703076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7">
        <v>228.0</v>
      </c>
      <c r="B230" s="7">
        <v>5362.0</v>
      </c>
      <c r="C230" s="7">
        <v>2.0</v>
      </c>
      <c r="D230" s="7">
        <v>48.0</v>
      </c>
      <c r="E230" s="8" t="s">
        <v>234</v>
      </c>
      <c r="F230" s="9">
        <f>IFERROR(__xludf.DUMMYFUNCTION("SPLIT(E230, "","")"),3.0)</f>
        <v>3</v>
      </c>
      <c r="G230" s="10">
        <f>IFERROR(__xludf.DUMMYFUNCTION("""COMPUTED_VALUE"""),75.0)</f>
        <v>75</v>
      </c>
      <c r="H230" s="10"/>
      <c r="I230" s="10">
        <f t="shared" si="1"/>
        <v>78</v>
      </c>
      <c r="J230" s="6">
        <f t="shared" si="2"/>
        <v>0.01454681089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7">
        <v>229.0</v>
      </c>
      <c r="B231" s="7">
        <v>12741.0</v>
      </c>
      <c r="C231" s="7">
        <v>2.0</v>
      </c>
      <c r="D231" s="7">
        <v>75.0</v>
      </c>
      <c r="E231" s="8" t="s">
        <v>235</v>
      </c>
      <c r="F231" s="9">
        <f>IFERROR(__xludf.DUMMYFUNCTION("SPLIT(E231, "","")"),22.0)</f>
        <v>22</v>
      </c>
      <c r="G231" s="10">
        <f>IFERROR(__xludf.DUMMYFUNCTION("""COMPUTED_VALUE"""),199.0)</f>
        <v>199</v>
      </c>
      <c r="H231" s="10"/>
      <c r="I231" s="10">
        <f t="shared" si="1"/>
        <v>221</v>
      </c>
      <c r="J231" s="6">
        <f t="shared" si="2"/>
        <v>0.01734557727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7">
        <v>230.0</v>
      </c>
      <c r="B232" s="7">
        <v>4526.0</v>
      </c>
      <c r="C232" s="7">
        <v>1.0</v>
      </c>
      <c r="D232" s="7">
        <v>9.0</v>
      </c>
      <c r="E232" s="11" t="s">
        <v>236</v>
      </c>
      <c r="F232" s="9">
        <f>IFERROR(__xludf.DUMMYFUNCTION("SPLIT(E232, "","")"),76.0)</f>
        <v>76</v>
      </c>
      <c r="G232" s="10"/>
      <c r="H232" s="10"/>
      <c r="I232" s="10">
        <f t="shared" si="1"/>
        <v>76</v>
      </c>
      <c r="J232" s="6">
        <f t="shared" si="2"/>
        <v>0.0167918692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7">
        <v>231.0</v>
      </c>
      <c r="B233" s="7">
        <v>11792.0</v>
      </c>
      <c r="C233" s="7">
        <v>3.0</v>
      </c>
      <c r="D233" s="7">
        <v>35.0</v>
      </c>
      <c r="E233" s="8" t="s">
        <v>237</v>
      </c>
      <c r="F233" s="9">
        <f>IFERROR(__xludf.DUMMYFUNCTION("SPLIT(E233, "","")"),63.0)</f>
        <v>63</v>
      </c>
      <c r="G233" s="10">
        <f>IFERROR(__xludf.DUMMYFUNCTION("""COMPUTED_VALUE"""),31.0)</f>
        <v>31</v>
      </c>
      <c r="H233" s="10">
        <f>IFERROR(__xludf.DUMMYFUNCTION("""COMPUTED_VALUE"""),5.0)</f>
        <v>5</v>
      </c>
      <c r="I233" s="10">
        <f t="shared" si="1"/>
        <v>99</v>
      </c>
      <c r="J233" s="6">
        <f t="shared" si="2"/>
        <v>0.008395522388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7">
        <v>232.0</v>
      </c>
      <c r="B234" s="7">
        <v>20774.0</v>
      </c>
      <c r="C234" s="7">
        <v>3.0</v>
      </c>
      <c r="D234" s="7">
        <v>27.0</v>
      </c>
      <c r="E234" s="8" t="s">
        <v>238</v>
      </c>
      <c r="F234" s="9">
        <f>IFERROR(__xludf.DUMMYFUNCTION("SPLIT(E234, "","")"),45.0)</f>
        <v>45</v>
      </c>
      <c r="G234" s="10">
        <f>IFERROR(__xludf.DUMMYFUNCTION("""COMPUTED_VALUE"""),60.0)</f>
        <v>60</v>
      </c>
      <c r="H234" s="10">
        <f>IFERROR(__xludf.DUMMYFUNCTION("""COMPUTED_VALUE"""),154.0)</f>
        <v>154</v>
      </c>
      <c r="I234" s="10">
        <f t="shared" si="1"/>
        <v>259</v>
      </c>
      <c r="J234" s="6">
        <f t="shared" si="2"/>
        <v>0.01246750746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7">
        <v>233.0</v>
      </c>
      <c r="B235" s="7">
        <v>10377.0</v>
      </c>
      <c r="C235" s="7">
        <v>3.0</v>
      </c>
      <c r="D235" s="7">
        <v>72.0</v>
      </c>
      <c r="E235" s="8" t="s">
        <v>239</v>
      </c>
      <c r="F235" s="9">
        <f>IFERROR(__xludf.DUMMYFUNCTION("SPLIT(E235, "","")"),38.0)</f>
        <v>38</v>
      </c>
      <c r="G235" s="10">
        <f>IFERROR(__xludf.DUMMYFUNCTION("""COMPUTED_VALUE"""),109.0)</f>
        <v>109</v>
      </c>
      <c r="H235" s="10">
        <f>IFERROR(__xludf.DUMMYFUNCTION("""COMPUTED_VALUE"""),23.0)</f>
        <v>23</v>
      </c>
      <c r="I235" s="10">
        <f t="shared" si="1"/>
        <v>170</v>
      </c>
      <c r="J235" s="6">
        <f t="shared" si="2"/>
        <v>0.01638238412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>
        <v>234.0</v>
      </c>
      <c r="B236" s="7">
        <v>16257.0</v>
      </c>
      <c r="C236" s="7">
        <v>1.0</v>
      </c>
      <c r="D236" s="7">
        <v>65.0</v>
      </c>
      <c r="E236" s="11" t="s">
        <v>240</v>
      </c>
      <c r="F236" s="9">
        <f>IFERROR(__xludf.DUMMYFUNCTION("SPLIT(E236, "","")"),303.0)</f>
        <v>303</v>
      </c>
      <c r="G236" s="10"/>
      <c r="H236" s="10"/>
      <c r="I236" s="10">
        <f t="shared" si="1"/>
        <v>303</v>
      </c>
      <c r="J236" s="6">
        <f t="shared" si="2"/>
        <v>0.01863812512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7">
        <v>235.0</v>
      </c>
      <c r="B237" s="7">
        <v>7058.0</v>
      </c>
      <c r="C237" s="7">
        <v>1.0</v>
      </c>
      <c r="D237" s="7">
        <v>32.0</v>
      </c>
      <c r="E237" s="11" t="s">
        <v>46</v>
      </c>
      <c r="F237" s="9">
        <f>IFERROR(__xludf.DUMMYFUNCTION("SPLIT(E237, "","")"),60.0)</f>
        <v>60</v>
      </c>
      <c r="G237" s="10"/>
      <c r="H237" s="10"/>
      <c r="I237" s="10">
        <f t="shared" si="1"/>
        <v>60</v>
      </c>
      <c r="J237" s="6">
        <f t="shared" si="2"/>
        <v>0.008500991782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>
        <v>236.0</v>
      </c>
      <c r="B238" s="7">
        <v>31232.0</v>
      </c>
      <c r="C238" s="7">
        <v>3.0</v>
      </c>
      <c r="D238" s="7">
        <v>18.0</v>
      </c>
      <c r="E238" s="8" t="s">
        <v>241</v>
      </c>
      <c r="F238" s="9">
        <f>IFERROR(__xludf.DUMMYFUNCTION("SPLIT(E238, "","")"),53.0)</f>
        <v>53</v>
      </c>
      <c r="G238" s="10">
        <f>IFERROR(__xludf.DUMMYFUNCTION("""COMPUTED_VALUE"""),262.0)</f>
        <v>262</v>
      </c>
      <c r="H238" s="10">
        <f>IFERROR(__xludf.DUMMYFUNCTION("""COMPUTED_VALUE"""),88.0)</f>
        <v>88</v>
      </c>
      <c r="I238" s="10">
        <f t="shared" si="1"/>
        <v>403</v>
      </c>
      <c r="J238" s="6">
        <f t="shared" si="2"/>
        <v>0.01290343238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7">
        <v>237.0</v>
      </c>
      <c r="B239" s="7">
        <v>7421.0</v>
      </c>
      <c r="C239" s="7">
        <v>1.0</v>
      </c>
      <c r="D239" s="7">
        <v>24.0</v>
      </c>
      <c r="E239" s="11" t="s">
        <v>242</v>
      </c>
      <c r="F239" s="9">
        <f>IFERROR(__xludf.DUMMYFUNCTION("SPLIT(E239, "","")"),138.0)</f>
        <v>138</v>
      </c>
      <c r="G239" s="10"/>
      <c r="H239" s="10"/>
      <c r="I239" s="10">
        <f t="shared" si="1"/>
        <v>138</v>
      </c>
      <c r="J239" s="6">
        <f t="shared" si="2"/>
        <v>0.01859587657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>
        <v>238.0</v>
      </c>
      <c r="B240" s="7">
        <v>4290.0</v>
      </c>
      <c r="C240" s="7">
        <v>1.0</v>
      </c>
      <c r="D240" s="7">
        <v>12.0</v>
      </c>
      <c r="E240" s="11" t="s">
        <v>17</v>
      </c>
      <c r="F240" s="9">
        <f>IFERROR(__xludf.DUMMYFUNCTION("SPLIT(E240, "","")"),80.0)</f>
        <v>80</v>
      </c>
      <c r="G240" s="10"/>
      <c r="H240" s="10"/>
      <c r="I240" s="10">
        <f t="shared" si="1"/>
        <v>80</v>
      </c>
      <c r="J240" s="6">
        <f t="shared" si="2"/>
        <v>0.01864801865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7">
        <v>239.0</v>
      </c>
      <c r="B241" s="7">
        <v>27496.0</v>
      </c>
      <c r="C241" s="7">
        <v>3.0</v>
      </c>
      <c r="D241" s="7">
        <v>60.0</v>
      </c>
      <c r="E241" s="8" t="s">
        <v>243</v>
      </c>
      <c r="F241" s="9">
        <f>IFERROR(__xludf.DUMMYFUNCTION("SPLIT(E241, "","")"),131.0)</f>
        <v>131</v>
      </c>
      <c r="G241" s="10">
        <f>IFERROR(__xludf.DUMMYFUNCTION("""COMPUTED_VALUE"""),53.0)</f>
        <v>53</v>
      </c>
      <c r="H241" s="10">
        <f>IFERROR(__xludf.DUMMYFUNCTION("""COMPUTED_VALUE"""),92.0)</f>
        <v>92</v>
      </c>
      <c r="I241" s="10">
        <f t="shared" si="1"/>
        <v>276</v>
      </c>
      <c r="J241" s="6">
        <f t="shared" si="2"/>
        <v>0.01003782368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7">
        <v>240.0</v>
      </c>
      <c r="B242" s="7">
        <v>3972.0</v>
      </c>
      <c r="C242" s="7">
        <v>1.0</v>
      </c>
      <c r="D242" s="7">
        <v>12.0</v>
      </c>
      <c r="E242" s="11" t="s">
        <v>244</v>
      </c>
      <c r="F242" s="9">
        <f>IFERROR(__xludf.DUMMYFUNCTION("SPLIT(E242, "","")"),77.0)</f>
        <v>77</v>
      </c>
      <c r="G242" s="10"/>
      <c r="H242" s="10"/>
      <c r="I242" s="10">
        <f t="shared" si="1"/>
        <v>77</v>
      </c>
      <c r="J242" s="6">
        <f t="shared" si="2"/>
        <v>0.0193856999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7">
        <v>241.0</v>
      </c>
      <c r="B243" s="7">
        <v>16766.0</v>
      </c>
      <c r="C243" s="7">
        <v>3.0</v>
      </c>
      <c r="D243" s="7">
        <v>9.0</v>
      </c>
      <c r="E243" s="8" t="s">
        <v>245</v>
      </c>
      <c r="F243" s="9">
        <f>IFERROR(__xludf.DUMMYFUNCTION("SPLIT(E243, "","")"),140.0)</f>
        <v>140</v>
      </c>
      <c r="G243" s="10">
        <f>IFERROR(__xludf.DUMMYFUNCTION("""COMPUTED_VALUE"""),25.0)</f>
        <v>25</v>
      </c>
      <c r="H243" s="10">
        <f>IFERROR(__xludf.DUMMYFUNCTION("""COMPUTED_VALUE"""),13.0)</f>
        <v>13</v>
      </c>
      <c r="I243" s="10">
        <f t="shared" si="1"/>
        <v>178</v>
      </c>
      <c r="J243" s="6">
        <f t="shared" si="2"/>
        <v>0.01061672432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7">
        <v>242.0</v>
      </c>
      <c r="B244" s="7">
        <v>5250.0</v>
      </c>
      <c r="C244" s="7">
        <v>2.0</v>
      </c>
      <c r="D244" s="7">
        <v>14.0</v>
      </c>
      <c r="E244" s="8" t="s">
        <v>246</v>
      </c>
      <c r="F244" s="9">
        <f>IFERROR(__xludf.DUMMYFUNCTION("SPLIT(E244, "","")"),48.0)</f>
        <v>48</v>
      </c>
      <c r="G244" s="10">
        <f>IFERROR(__xludf.DUMMYFUNCTION("""COMPUTED_VALUE"""),23.0)</f>
        <v>23</v>
      </c>
      <c r="H244" s="10"/>
      <c r="I244" s="10">
        <f t="shared" si="1"/>
        <v>71</v>
      </c>
      <c r="J244" s="6">
        <f t="shared" si="2"/>
        <v>0.01352380952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7">
        <v>243.0</v>
      </c>
      <c r="B245" s="7">
        <v>9105.0</v>
      </c>
      <c r="C245" s="7">
        <v>1.0</v>
      </c>
      <c r="D245" s="7">
        <v>10.0</v>
      </c>
      <c r="E245" s="11" t="s">
        <v>247</v>
      </c>
      <c r="F245" s="9">
        <f>IFERROR(__xludf.DUMMYFUNCTION("SPLIT(E245, "","")"),120.0)</f>
        <v>120</v>
      </c>
      <c r="G245" s="10"/>
      <c r="H245" s="10"/>
      <c r="I245" s="10">
        <f t="shared" si="1"/>
        <v>120</v>
      </c>
      <c r="J245" s="6">
        <f t="shared" si="2"/>
        <v>0.01317957166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7">
        <v>244.0</v>
      </c>
      <c r="B246" s="7">
        <v>15132.0</v>
      </c>
      <c r="C246" s="7">
        <v>2.0</v>
      </c>
      <c r="D246" s="7">
        <v>52.0</v>
      </c>
      <c r="E246" s="8" t="s">
        <v>248</v>
      </c>
      <c r="F246" s="9">
        <f>IFERROR(__xludf.DUMMYFUNCTION("SPLIT(E246, "","")"),134.0)</f>
        <v>134</v>
      </c>
      <c r="G246" s="10">
        <f>IFERROR(__xludf.DUMMYFUNCTION("""COMPUTED_VALUE"""),29.0)</f>
        <v>29</v>
      </c>
      <c r="H246" s="10"/>
      <c r="I246" s="10">
        <f t="shared" si="1"/>
        <v>163</v>
      </c>
      <c r="J246" s="6">
        <f t="shared" si="2"/>
        <v>0.01077187417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7">
        <v>245.0</v>
      </c>
      <c r="B247" s="7">
        <v>11946.0</v>
      </c>
      <c r="C247" s="7">
        <v>3.0</v>
      </c>
      <c r="D247" s="7">
        <v>6.0</v>
      </c>
      <c r="E247" s="8" t="s">
        <v>249</v>
      </c>
      <c r="F247" s="9">
        <f>IFERROR(__xludf.DUMMYFUNCTION("SPLIT(E247, "","")"),34.0)</f>
        <v>34</v>
      </c>
      <c r="G247" s="10">
        <f>IFERROR(__xludf.DUMMYFUNCTION("""COMPUTED_VALUE"""),61.0)</f>
        <v>61</v>
      </c>
      <c r="H247" s="10">
        <f>IFERROR(__xludf.DUMMYFUNCTION("""COMPUTED_VALUE"""),75.0)</f>
        <v>75</v>
      </c>
      <c r="I247" s="10">
        <f t="shared" si="1"/>
        <v>170</v>
      </c>
      <c r="J247" s="6">
        <f t="shared" si="2"/>
        <v>0.01423070484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7">
        <v>246.0</v>
      </c>
      <c r="B248" s="7">
        <v>3731.0</v>
      </c>
      <c r="C248" s="7">
        <v>1.0</v>
      </c>
      <c r="D248" s="7">
        <v>50.0</v>
      </c>
      <c r="E248" s="11" t="s">
        <v>162</v>
      </c>
      <c r="F248" s="9">
        <f>IFERROR(__xludf.DUMMYFUNCTION("SPLIT(E248, "","")"),43.0)</f>
        <v>43</v>
      </c>
      <c r="G248" s="10"/>
      <c r="H248" s="10"/>
      <c r="I248" s="10">
        <f t="shared" si="1"/>
        <v>43</v>
      </c>
      <c r="J248" s="6">
        <f t="shared" si="2"/>
        <v>0.01152506031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7">
        <v>247.0</v>
      </c>
      <c r="B249" s="7">
        <v>8424.0</v>
      </c>
      <c r="C249" s="7">
        <v>2.0</v>
      </c>
      <c r="D249" s="7">
        <v>38.0</v>
      </c>
      <c r="E249" s="8" t="s">
        <v>250</v>
      </c>
      <c r="F249" s="9">
        <f>IFERROR(__xludf.DUMMYFUNCTION("SPLIT(E249, "","")"),54.0)</f>
        <v>54</v>
      </c>
      <c r="G249" s="10">
        <f>IFERROR(__xludf.DUMMYFUNCTION("""COMPUTED_VALUE"""),43.0)</f>
        <v>43</v>
      </c>
      <c r="H249" s="10"/>
      <c r="I249" s="10">
        <f t="shared" si="1"/>
        <v>97</v>
      </c>
      <c r="J249" s="6">
        <f t="shared" si="2"/>
        <v>0.01151471985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7">
        <v>248.0</v>
      </c>
      <c r="B250" s="7">
        <v>4414.0</v>
      </c>
      <c r="C250" s="7">
        <v>1.0</v>
      </c>
      <c r="D250" s="7">
        <v>60.0</v>
      </c>
      <c r="E250" s="11" t="s">
        <v>251</v>
      </c>
      <c r="F250" s="9">
        <f>IFERROR(__xludf.DUMMYFUNCTION("SPLIT(E250, "","")"),28.0)</f>
        <v>28</v>
      </c>
      <c r="G250" s="10"/>
      <c r="H250" s="10"/>
      <c r="I250" s="10">
        <f t="shared" si="1"/>
        <v>28</v>
      </c>
      <c r="J250" s="6">
        <f t="shared" si="2"/>
        <v>0.006343452651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7">
        <v>249.0</v>
      </c>
      <c r="B251" s="7">
        <v>6180.0</v>
      </c>
      <c r="C251" s="7">
        <v>1.0</v>
      </c>
      <c r="D251" s="7">
        <v>66.0</v>
      </c>
      <c r="E251" s="11" t="s">
        <v>69</v>
      </c>
      <c r="F251" s="9">
        <f>IFERROR(__xludf.DUMMYFUNCTION("SPLIT(E251, "","")"),71.0)</f>
        <v>71</v>
      </c>
      <c r="G251" s="10"/>
      <c r="H251" s="10"/>
      <c r="I251" s="10">
        <f t="shared" si="1"/>
        <v>71</v>
      </c>
      <c r="J251" s="6">
        <f t="shared" si="2"/>
        <v>0.01148867314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7">
        <v>250.0</v>
      </c>
      <c r="B252" s="7">
        <v>16074.0</v>
      </c>
      <c r="C252" s="7">
        <v>2.0</v>
      </c>
      <c r="D252" s="7">
        <v>45.0</v>
      </c>
      <c r="E252" s="8" t="s">
        <v>252</v>
      </c>
      <c r="F252" s="9">
        <f>IFERROR(__xludf.DUMMYFUNCTION("SPLIT(E252, "","")"),48.0)</f>
        <v>48</v>
      </c>
      <c r="G252" s="10">
        <f>IFERROR(__xludf.DUMMYFUNCTION("""COMPUTED_VALUE"""),65.0)</f>
        <v>65</v>
      </c>
      <c r="H252" s="10"/>
      <c r="I252" s="10">
        <f t="shared" si="1"/>
        <v>113</v>
      </c>
      <c r="J252" s="6">
        <f t="shared" si="2"/>
        <v>0.007029986313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7">
        <v>251.0</v>
      </c>
      <c r="B253" s="7">
        <v>33008.0</v>
      </c>
      <c r="C253" s="7">
        <v>2.0</v>
      </c>
      <c r="D253" s="7">
        <v>42.0</v>
      </c>
      <c r="E253" s="8" t="s">
        <v>253</v>
      </c>
      <c r="F253" s="9">
        <f>IFERROR(__xludf.DUMMYFUNCTION("SPLIT(E253, "","")"),315.0)</f>
        <v>315</v>
      </c>
      <c r="G253" s="10">
        <f>IFERROR(__xludf.DUMMYFUNCTION("""COMPUTED_VALUE"""),213.0)</f>
        <v>213</v>
      </c>
      <c r="H253" s="10"/>
      <c r="I253" s="10">
        <f t="shared" si="1"/>
        <v>528</v>
      </c>
      <c r="J253" s="6">
        <f t="shared" si="2"/>
        <v>0.01599612215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7">
        <v>252.0</v>
      </c>
      <c r="B254" s="7">
        <v>25880.0</v>
      </c>
      <c r="C254" s="7">
        <v>3.0</v>
      </c>
      <c r="D254" s="7">
        <v>36.0</v>
      </c>
      <c r="E254" s="8" t="s">
        <v>254</v>
      </c>
      <c r="F254" s="9">
        <f>IFERROR(__xludf.DUMMYFUNCTION("SPLIT(E254, "","")"),43.0)</f>
        <v>43</v>
      </c>
      <c r="G254" s="10">
        <f>IFERROR(__xludf.DUMMYFUNCTION("""COMPUTED_VALUE"""),252.0)</f>
        <v>252</v>
      </c>
      <c r="H254" s="10">
        <f>IFERROR(__xludf.DUMMYFUNCTION("""COMPUTED_VALUE"""),92.0)</f>
        <v>92</v>
      </c>
      <c r="I254" s="10">
        <f t="shared" si="1"/>
        <v>387</v>
      </c>
      <c r="J254" s="6">
        <f t="shared" si="2"/>
        <v>0.01495363215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7">
        <v>253.0</v>
      </c>
      <c r="B255" s="7">
        <v>11917.0</v>
      </c>
      <c r="C255" s="7">
        <v>2.0</v>
      </c>
      <c r="D255" s="7">
        <v>25.0</v>
      </c>
      <c r="E255" s="8" t="s">
        <v>255</v>
      </c>
      <c r="F255" s="9">
        <f>IFERROR(__xludf.DUMMYFUNCTION("SPLIT(E255, "","")"),90.0)</f>
        <v>90</v>
      </c>
      <c r="G255" s="10">
        <f>IFERROR(__xludf.DUMMYFUNCTION("""COMPUTED_VALUE"""),31.0)</f>
        <v>31</v>
      </c>
      <c r="H255" s="10"/>
      <c r="I255" s="10">
        <f t="shared" si="1"/>
        <v>121</v>
      </c>
      <c r="J255" s="6">
        <f t="shared" si="2"/>
        <v>0.01015356214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7">
        <v>254.0</v>
      </c>
      <c r="B256" s="7">
        <v>23345.0</v>
      </c>
      <c r="C256" s="7">
        <v>3.0</v>
      </c>
      <c r="D256" s="7">
        <v>6.0</v>
      </c>
      <c r="E256" s="8" t="s">
        <v>256</v>
      </c>
      <c r="F256" s="9">
        <f>IFERROR(__xludf.DUMMYFUNCTION("SPLIT(E256, "","")"),14.0)</f>
        <v>14</v>
      </c>
      <c r="G256" s="10">
        <f>IFERROR(__xludf.DUMMYFUNCTION("""COMPUTED_VALUE"""),106.0)</f>
        <v>106</v>
      </c>
      <c r="H256" s="10">
        <f>IFERROR(__xludf.DUMMYFUNCTION("""COMPUTED_VALUE"""),71.0)</f>
        <v>71</v>
      </c>
      <c r="I256" s="10">
        <f t="shared" si="1"/>
        <v>191</v>
      </c>
      <c r="J256" s="6">
        <f t="shared" si="2"/>
        <v>0.008181623474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7">
        <v>255.0</v>
      </c>
      <c r="B257" s="7">
        <v>15041.0</v>
      </c>
      <c r="C257" s="7">
        <v>1.0</v>
      </c>
      <c r="D257" s="7">
        <v>50.0</v>
      </c>
      <c r="E257" s="11" t="s">
        <v>257</v>
      </c>
      <c r="F257" s="9">
        <f>IFERROR(__xludf.DUMMYFUNCTION("SPLIT(E257, "","")"),227.0)</f>
        <v>227</v>
      </c>
      <c r="G257" s="10"/>
      <c r="H257" s="10"/>
      <c r="I257" s="10">
        <f t="shared" si="1"/>
        <v>227</v>
      </c>
      <c r="J257" s="6">
        <f t="shared" si="2"/>
        <v>0.01509208164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7">
        <v>256.0</v>
      </c>
      <c r="B258" s="7">
        <v>31442.0</v>
      </c>
      <c r="C258" s="7">
        <v>2.0</v>
      </c>
      <c r="D258" s="7">
        <v>54.0</v>
      </c>
      <c r="E258" s="8" t="s">
        <v>258</v>
      </c>
      <c r="F258" s="9">
        <f>IFERROR(__xludf.DUMMYFUNCTION("SPLIT(E258, "","")"),294.0)</f>
        <v>294</v>
      </c>
      <c r="G258" s="10">
        <f>IFERROR(__xludf.DUMMYFUNCTION("""COMPUTED_VALUE"""),141.0)</f>
        <v>141</v>
      </c>
      <c r="H258" s="10"/>
      <c r="I258" s="10">
        <f t="shared" si="1"/>
        <v>435</v>
      </c>
      <c r="J258" s="6">
        <f t="shared" si="2"/>
        <v>0.01383499777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7">
        <v>257.0</v>
      </c>
      <c r="B259" s="7">
        <v>26243.0</v>
      </c>
      <c r="C259" s="7">
        <v>3.0</v>
      </c>
      <c r="D259" s="7">
        <v>54.0</v>
      </c>
      <c r="E259" s="8" t="s">
        <v>259</v>
      </c>
      <c r="F259" s="9">
        <f>IFERROR(__xludf.DUMMYFUNCTION("SPLIT(E259, "","")"),174.0)</f>
        <v>174</v>
      </c>
      <c r="G259" s="10">
        <f>IFERROR(__xludf.DUMMYFUNCTION("""COMPUTED_VALUE"""),158.0)</f>
        <v>158</v>
      </c>
      <c r="H259" s="10">
        <f>IFERROR(__xludf.DUMMYFUNCTION("""COMPUTED_VALUE"""),13.0)</f>
        <v>13</v>
      </c>
      <c r="I259" s="10">
        <f t="shared" si="1"/>
        <v>345</v>
      </c>
      <c r="J259" s="6">
        <f t="shared" si="2"/>
        <v>0.01314636284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7">
        <v>258.0</v>
      </c>
      <c r="B260" s="7">
        <v>8854.0</v>
      </c>
      <c r="C260" s="7">
        <v>1.0</v>
      </c>
      <c r="D260" s="7">
        <v>49.0</v>
      </c>
      <c r="E260" s="11" t="s">
        <v>260</v>
      </c>
      <c r="F260" s="9">
        <f>IFERROR(__xludf.DUMMYFUNCTION("SPLIT(E260, "","")"),126.0)</f>
        <v>126</v>
      </c>
      <c r="G260" s="10"/>
      <c r="H260" s="10"/>
      <c r="I260" s="10">
        <f t="shared" si="1"/>
        <v>126</v>
      </c>
      <c r="J260" s="6">
        <f t="shared" si="2"/>
        <v>0.01423085611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7">
        <v>259.0</v>
      </c>
      <c r="B261" s="7">
        <v>4993.0</v>
      </c>
      <c r="C261" s="7">
        <v>3.0</v>
      </c>
      <c r="D261" s="7">
        <v>28.0</v>
      </c>
      <c r="E261" s="8" t="s">
        <v>261</v>
      </c>
      <c r="F261" s="9">
        <f>IFERROR(__xludf.DUMMYFUNCTION("SPLIT(E261, "","")"),46.0)</f>
        <v>46</v>
      </c>
      <c r="G261" s="10">
        <f>IFERROR(__xludf.DUMMYFUNCTION("""COMPUTED_VALUE"""),31.0)</f>
        <v>31</v>
      </c>
      <c r="H261" s="10">
        <f>IFERROR(__xludf.DUMMYFUNCTION("""COMPUTED_VALUE"""),13.0)</f>
        <v>13</v>
      </c>
      <c r="I261" s="10">
        <f t="shared" si="1"/>
        <v>90</v>
      </c>
      <c r="J261" s="6">
        <f t="shared" si="2"/>
        <v>0.01802523533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7">
        <v>260.0</v>
      </c>
      <c r="B262" s="7">
        <v>15994.0</v>
      </c>
      <c r="C262" s="7">
        <v>1.0</v>
      </c>
      <c r="D262" s="7">
        <v>6.0</v>
      </c>
      <c r="E262" s="11" t="s">
        <v>262</v>
      </c>
      <c r="F262" s="9">
        <f>IFERROR(__xludf.DUMMYFUNCTION("SPLIT(E262, "","")"),182.0)</f>
        <v>182</v>
      </c>
      <c r="G262" s="10"/>
      <c r="H262" s="10"/>
      <c r="I262" s="10">
        <f t="shared" si="1"/>
        <v>182</v>
      </c>
      <c r="J262" s="6">
        <f t="shared" si="2"/>
        <v>0.01137926723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7">
        <v>261.0</v>
      </c>
      <c r="B263" s="7">
        <v>33982.0</v>
      </c>
      <c r="C263" s="7">
        <v>3.0</v>
      </c>
      <c r="D263" s="7">
        <v>64.0</v>
      </c>
      <c r="E263" s="8" t="s">
        <v>263</v>
      </c>
      <c r="F263" s="9">
        <f>IFERROR(__xludf.DUMMYFUNCTION("SPLIT(E263, "","")"),113.0)</f>
        <v>113</v>
      </c>
      <c r="G263" s="10">
        <f>IFERROR(__xludf.DUMMYFUNCTION("""COMPUTED_VALUE"""),243.0)</f>
        <v>243</v>
      </c>
      <c r="H263" s="10">
        <f>IFERROR(__xludf.DUMMYFUNCTION("""COMPUTED_VALUE"""),112.0)</f>
        <v>112</v>
      </c>
      <c r="I263" s="10">
        <f t="shared" si="1"/>
        <v>468</v>
      </c>
      <c r="J263" s="6">
        <f t="shared" si="2"/>
        <v>0.01377199694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7">
        <v>262.0</v>
      </c>
      <c r="B264" s="7">
        <v>15602.0</v>
      </c>
      <c r="C264" s="7">
        <v>1.0</v>
      </c>
      <c r="D264" s="7">
        <v>33.0</v>
      </c>
      <c r="E264" s="11" t="s">
        <v>264</v>
      </c>
      <c r="F264" s="9">
        <f>IFERROR(__xludf.DUMMYFUNCTION("SPLIT(E264, "","")"),231.0)</f>
        <v>231</v>
      </c>
      <c r="G264" s="10"/>
      <c r="H264" s="10"/>
      <c r="I264" s="10">
        <f t="shared" si="1"/>
        <v>231</v>
      </c>
      <c r="J264" s="6">
        <f t="shared" si="2"/>
        <v>0.01480579413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7">
        <v>263.0</v>
      </c>
      <c r="B265" s="7">
        <v>6392.0</v>
      </c>
      <c r="C265" s="7">
        <v>1.0</v>
      </c>
      <c r="D265" s="7">
        <v>63.0</v>
      </c>
      <c r="E265" s="11" t="s">
        <v>265</v>
      </c>
      <c r="F265" s="9">
        <f>IFERROR(__xludf.DUMMYFUNCTION("SPLIT(E265, "","")"),123.0)</f>
        <v>123</v>
      </c>
      <c r="G265" s="10"/>
      <c r="H265" s="10"/>
      <c r="I265" s="10">
        <f t="shared" si="1"/>
        <v>123</v>
      </c>
      <c r="J265" s="6">
        <f t="shared" si="2"/>
        <v>0.0192428035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7">
        <v>264.0</v>
      </c>
      <c r="B266" s="7">
        <v>12775.0</v>
      </c>
      <c r="C266" s="7">
        <v>3.0</v>
      </c>
      <c r="D266" s="7">
        <v>38.0</v>
      </c>
      <c r="E266" s="8" t="s">
        <v>266</v>
      </c>
      <c r="F266" s="9">
        <f>IFERROR(__xludf.DUMMYFUNCTION("SPLIT(E266, "","")"),47.0)</f>
        <v>47</v>
      </c>
      <c r="G266" s="10">
        <f>IFERROR(__xludf.DUMMYFUNCTION("""COMPUTED_VALUE"""),85.0)</f>
        <v>85</v>
      </c>
      <c r="H266" s="10">
        <f>IFERROR(__xludf.DUMMYFUNCTION("""COMPUTED_VALUE"""),46.0)</f>
        <v>46</v>
      </c>
      <c r="I266" s="10">
        <f t="shared" si="1"/>
        <v>178</v>
      </c>
      <c r="J266" s="6">
        <f t="shared" si="2"/>
        <v>0.0139334638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7">
        <v>265.0</v>
      </c>
      <c r="B267" s="7">
        <v>16007.0</v>
      </c>
      <c r="C267" s="7">
        <v>1.0</v>
      </c>
      <c r="D267" s="7">
        <v>57.0</v>
      </c>
      <c r="E267" s="11" t="s">
        <v>260</v>
      </c>
      <c r="F267" s="9">
        <f>IFERROR(__xludf.DUMMYFUNCTION("SPLIT(E267, "","")"),126.0)</f>
        <v>126</v>
      </c>
      <c r="G267" s="10"/>
      <c r="H267" s="10"/>
      <c r="I267" s="10">
        <f t="shared" si="1"/>
        <v>126</v>
      </c>
      <c r="J267" s="6">
        <f t="shared" si="2"/>
        <v>0.007871556194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7">
        <v>266.0</v>
      </c>
      <c r="B268" s="7">
        <v>7340.0</v>
      </c>
      <c r="C268" s="7">
        <v>2.0</v>
      </c>
      <c r="D268" s="7">
        <v>69.0</v>
      </c>
      <c r="E268" s="8" t="s">
        <v>267</v>
      </c>
      <c r="F268" s="9">
        <f>IFERROR(__xludf.DUMMYFUNCTION("SPLIT(E268, "","")"),16.0)</f>
        <v>16</v>
      </c>
      <c r="G268" s="10">
        <f>IFERROR(__xludf.DUMMYFUNCTION("""COMPUTED_VALUE"""),67.0)</f>
        <v>67</v>
      </c>
      <c r="H268" s="10"/>
      <c r="I268" s="10">
        <f t="shared" si="1"/>
        <v>83</v>
      </c>
      <c r="J268" s="6">
        <f t="shared" si="2"/>
        <v>0.01130790191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7">
        <v>267.0</v>
      </c>
      <c r="B269" s="7">
        <v>17820.0</v>
      </c>
      <c r="C269" s="7">
        <v>2.0</v>
      </c>
      <c r="D269" s="7">
        <v>9.0</v>
      </c>
      <c r="E269" s="8" t="s">
        <v>268</v>
      </c>
      <c r="F269" s="9">
        <f>IFERROR(__xludf.DUMMYFUNCTION("SPLIT(E269, "","")"),17.0)</f>
        <v>17</v>
      </c>
      <c r="G269" s="10">
        <f>IFERROR(__xludf.DUMMYFUNCTION("""COMPUTED_VALUE"""),175.0)</f>
        <v>175</v>
      </c>
      <c r="H269" s="10"/>
      <c r="I269" s="10">
        <f t="shared" si="1"/>
        <v>192</v>
      </c>
      <c r="J269" s="6">
        <f t="shared" si="2"/>
        <v>0.01077441077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7">
        <v>268.0</v>
      </c>
      <c r="B270" s="7">
        <v>22239.0</v>
      </c>
      <c r="C270" s="7">
        <v>3.0</v>
      </c>
      <c r="D270" s="7">
        <v>14.0</v>
      </c>
      <c r="E270" s="8" t="s">
        <v>269</v>
      </c>
      <c r="F270" s="9">
        <f>IFERROR(__xludf.DUMMYFUNCTION("SPLIT(E270, "","")"),45.0)</f>
        <v>45</v>
      </c>
      <c r="G270" s="10">
        <f>IFERROR(__xludf.DUMMYFUNCTION("""COMPUTED_VALUE"""),189.0)</f>
        <v>189</v>
      </c>
      <c r="H270" s="10">
        <f>IFERROR(__xludf.DUMMYFUNCTION("""COMPUTED_VALUE"""),83.0)</f>
        <v>83</v>
      </c>
      <c r="I270" s="10">
        <f t="shared" si="1"/>
        <v>317</v>
      </c>
      <c r="J270" s="6">
        <f t="shared" si="2"/>
        <v>0.01425423805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7">
        <v>269.0</v>
      </c>
      <c r="B271" s="7">
        <v>8413.0</v>
      </c>
      <c r="C271" s="7">
        <v>2.0</v>
      </c>
      <c r="D271" s="7">
        <v>56.0</v>
      </c>
      <c r="E271" s="8" t="s">
        <v>270</v>
      </c>
      <c r="F271" s="9">
        <f>IFERROR(__xludf.DUMMYFUNCTION("SPLIT(E271, "","")"),82.0)</f>
        <v>82</v>
      </c>
      <c r="G271" s="10">
        <f>IFERROR(__xludf.DUMMYFUNCTION("""COMPUTED_VALUE"""),23.0)</f>
        <v>23</v>
      </c>
      <c r="H271" s="10"/>
      <c r="I271" s="10">
        <f t="shared" si="1"/>
        <v>105</v>
      </c>
      <c r="J271" s="6">
        <f t="shared" si="2"/>
        <v>0.01248068465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7">
        <v>270.0</v>
      </c>
      <c r="B272" s="7">
        <v>10386.0</v>
      </c>
      <c r="C272" s="7">
        <v>2.0</v>
      </c>
      <c r="D272" s="7">
        <v>12.0</v>
      </c>
      <c r="E272" s="8" t="s">
        <v>271</v>
      </c>
      <c r="F272" s="9">
        <f>IFERROR(__xludf.DUMMYFUNCTION("SPLIT(E272, "","")"),112.0)</f>
        <v>112</v>
      </c>
      <c r="G272" s="10">
        <f>IFERROR(__xludf.DUMMYFUNCTION("""COMPUTED_VALUE"""),47.0)</f>
        <v>47</v>
      </c>
      <c r="H272" s="10"/>
      <c r="I272" s="10">
        <f t="shared" si="1"/>
        <v>159</v>
      </c>
      <c r="J272" s="6">
        <f t="shared" si="2"/>
        <v>0.0153090699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7">
        <v>271.0</v>
      </c>
      <c r="B273" s="7">
        <v>13644.0</v>
      </c>
      <c r="C273" s="7">
        <v>1.0</v>
      </c>
      <c r="D273" s="7">
        <v>49.0</v>
      </c>
      <c r="E273" s="11" t="s">
        <v>272</v>
      </c>
      <c r="F273" s="9">
        <f>IFERROR(__xludf.DUMMYFUNCTION("SPLIT(E273, "","")"),109.0)</f>
        <v>109</v>
      </c>
      <c r="G273" s="10"/>
      <c r="H273" s="10"/>
      <c r="I273" s="10">
        <f t="shared" si="1"/>
        <v>109</v>
      </c>
      <c r="J273" s="6">
        <f t="shared" si="2"/>
        <v>0.007988859572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7">
        <v>272.0</v>
      </c>
      <c r="B274" s="7">
        <v>6954.0</v>
      </c>
      <c r="C274" s="7">
        <v>3.0</v>
      </c>
      <c r="D274" s="7">
        <v>45.0</v>
      </c>
      <c r="E274" s="8" t="s">
        <v>273</v>
      </c>
      <c r="F274" s="9">
        <f>IFERROR(__xludf.DUMMYFUNCTION("SPLIT(E274, "","")"),10.0)</f>
        <v>10</v>
      </c>
      <c r="G274" s="10">
        <f>IFERROR(__xludf.DUMMYFUNCTION("""COMPUTED_VALUE"""),54.0)</f>
        <v>54</v>
      </c>
      <c r="H274" s="10">
        <f>IFERROR(__xludf.DUMMYFUNCTION("""COMPUTED_VALUE"""),10.0)</f>
        <v>10</v>
      </c>
      <c r="I274" s="10">
        <f t="shared" si="1"/>
        <v>74</v>
      </c>
      <c r="J274" s="6">
        <f t="shared" si="2"/>
        <v>0.01064135749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7">
        <v>273.0</v>
      </c>
      <c r="B275" s="7">
        <v>12842.0</v>
      </c>
      <c r="C275" s="7">
        <v>2.0</v>
      </c>
      <c r="D275" s="7">
        <v>32.0</v>
      </c>
      <c r="E275" s="8" t="s">
        <v>274</v>
      </c>
      <c r="F275" s="9">
        <f>IFERROR(__xludf.DUMMYFUNCTION("SPLIT(E275, "","")"),74.0)</f>
        <v>74</v>
      </c>
      <c r="G275" s="10">
        <f>IFERROR(__xludf.DUMMYFUNCTION("""COMPUTED_VALUE"""),148.0)</f>
        <v>148</v>
      </c>
      <c r="H275" s="10"/>
      <c r="I275" s="10">
        <f t="shared" si="1"/>
        <v>222</v>
      </c>
      <c r="J275" s="6">
        <f t="shared" si="2"/>
        <v>0.01728702694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7">
        <v>274.0</v>
      </c>
      <c r="B276" s="7">
        <v>29052.0</v>
      </c>
      <c r="C276" s="7">
        <v>3.0</v>
      </c>
      <c r="D276" s="7">
        <v>48.0</v>
      </c>
      <c r="E276" s="8" t="s">
        <v>275</v>
      </c>
      <c r="F276" s="9">
        <f>IFERROR(__xludf.DUMMYFUNCTION("SPLIT(E276, "","")"),58.0)</f>
        <v>58</v>
      </c>
      <c r="G276" s="10">
        <f>IFERROR(__xludf.DUMMYFUNCTION("""COMPUTED_VALUE"""),163.0)</f>
        <v>163</v>
      </c>
      <c r="H276" s="10">
        <f>IFERROR(__xludf.DUMMYFUNCTION("""COMPUTED_VALUE"""),71.0)</f>
        <v>71</v>
      </c>
      <c r="I276" s="10">
        <f t="shared" si="1"/>
        <v>292</v>
      </c>
      <c r="J276" s="6">
        <f t="shared" si="2"/>
        <v>0.01005094314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7">
        <v>275.0</v>
      </c>
      <c r="B277" s="7">
        <v>40643.0</v>
      </c>
      <c r="C277" s="7">
        <v>3.0</v>
      </c>
      <c r="D277" s="7">
        <v>57.0</v>
      </c>
      <c r="E277" s="8" t="s">
        <v>276</v>
      </c>
      <c r="F277" s="9">
        <f>IFERROR(__xludf.DUMMYFUNCTION("SPLIT(E277, "","")"),164.0)</f>
        <v>164</v>
      </c>
      <c r="G277" s="10">
        <f>IFERROR(__xludf.DUMMYFUNCTION("""COMPUTED_VALUE"""),73.0)</f>
        <v>73</v>
      </c>
      <c r="H277" s="10">
        <f>IFERROR(__xludf.DUMMYFUNCTION("""COMPUTED_VALUE"""),295.0)</f>
        <v>295</v>
      </c>
      <c r="I277" s="10">
        <f t="shared" si="1"/>
        <v>532</v>
      </c>
      <c r="J277" s="6">
        <f t="shared" si="2"/>
        <v>0.01308958492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7">
        <v>276.0</v>
      </c>
      <c r="B278" s="7">
        <v>12376.0</v>
      </c>
      <c r="C278" s="7">
        <v>2.0</v>
      </c>
      <c r="D278" s="7">
        <v>8.0</v>
      </c>
      <c r="E278" s="8" t="s">
        <v>277</v>
      </c>
      <c r="F278" s="9">
        <f>IFERROR(__xludf.DUMMYFUNCTION("SPLIT(E278, "","")"),77.0)</f>
        <v>77</v>
      </c>
      <c r="G278" s="10">
        <f>IFERROR(__xludf.DUMMYFUNCTION("""COMPUTED_VALUE"""),120.0)</f>
        <v>120</v>
      </c>
      <c r="H278" s="10"/>
      <c r="I278" s="10">
        <f t="shared" si="1"/>
        <v>197</v>
      </c>
      <c r="J278" s="6">
        <f t="shared" si="2"/>
        <v>0.01591790562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7">
        <v>277.0</v>
      </c>
      <c r="B279" s="7">
        <v>9600.0</v>
      </c>
      <c r="C279" s="7">
        <v>2.0</v>
      </c>
      <c r="D279" s="7">
        <v>28.0</v>
      </c>
      <c r="E279" s="8" t="s">
        <v>278</v>
      </c>
      <c r="F279" s="9">
        <f>IFERROR(__xludf.DUMMYFUNCTION("SPLIT(E279, "","")"),157.0)</f>
        <v>157</v>
      </c>
      <c r="G279" s="10">
        <f>IFERROR(__xludf.DUMMYFUNCTION("""COMPUTED_VALUE"""),29.0)</f>
        <v>29</v>
      </c>
      <c r="H279" s="10"/>
      <c r="I279" s="10">
        <f t="shared" si="1"/>
        <v>186</v>
      </c>
      <c r="J279" s="6">
        <f t="shared" si="2"/>
        <v>0.019375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7">
        <v>278.0</v>
      </c>
      <c r="B280" s="7">
        <v>3905.0</v>
      </c>
      <c r="C280" s="7">
        <v>2.0</v>
      </c>
      <c r="D280" s="7">
        <v>36.0</v>
      </c>
      <c r="E280" s="8" t="s">
        <v>279</v>
      </c>
      <c r="F280" s="9">
        <f>IFERROR(__xludf.DUMMYFUNCTION("SPLIT(E280, "","")"),45.0)</f>
        <v>45</v>
      </c>
      <c r="G280" s="10">
        <f>IFERROR(__xludf.DUMMYFUNCTION("""COMPUTED_VALUE"""),19.0)</f>
        <v>19</v>
      </c>
      <c r="H280" s="10"/>
      <c r="I280" s="10">
        <f t="shared" si="1"/>
        <v>64</v>
      </c>
      <c r="J280" s="6">
        <f t="shared" si="2"/>
        <v>0.01638924456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7">
        <v>279.0</v>
      </c>
      <c r="B281" s="7">
        <v>15996.0</v>
      </c>
      <c r="C281" s="7">
        <v>1.0</v>
      </c>
      <c r="D281" s="7">
        <v>30.0</v>
      </c>
      <c r="E281" s="11" t="s">
        <v>280</v>
      </c>
      <c r="F281" s="9">
        <f>IFERROR(__xludf.DUMMYFUNCTION("SPLIT(E281, "","")"),293.0)</f>
        <v>293</v>
      </c>
      <c r="G281" s="10"/>
      <c r="H281" s="10"/>
      <c r="I281" s="10">
        <f t="shared" si="1"/>
        <v>293</v>
      </c>
      <c r="J281" s="6">
        <f t="shared" si="2"/>
        <v>0.01831707927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7">
        <v>280.0</v>
      </c>
      <c r="B282" s="7">
        <v>8887.0</v>
      </c>
      <c r="C282" s="7">
        <v>2.0</v>
      </c>
      <c r="D282" s="7">
        <v>64.0</v>
      </c>
      <c r="E282" s="8" t="s">
        <v>281</v>
      </c>
      <c r="F282" s="9">
        <f>IFERROR(__xludf.DUMMYFUNCTION("SPLIT(E282, "","")"),53.0)</f>
        <v>53</v>
      </c>
      <c r="G282" s="10">
        <f>IFERROR(__xludf.DUMMYFUNCTION("""COMPUTED_VALUE"""),61.0)</f>
        <v>61</v>
      </c>
      <c r="H282" s="10"/>
      <c r="I282" s="10">
        <f t="shared" si="1"/>
        <v>114</v>
      </c>
      <c r="J282" s="6">
        <f t="shared" si="2"/>
        <v>0.01282772589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7">
        <v>281.0</v>
      </c>
      <c r="B283" s="7">
        <v>10338.0</v>
      </c>
      <c r="C283" s="7">
        <v>2.0</v>
      </c>
      <c r="D283" s="7">
        <v>54.0</v>
      </c>
      <c r="E283" s="8" t="s">
        <v>282</v>
      </c>
      <c r="F283" s="9">
        <f>IFERROR(__xludf.DUMMYFUNCTION("SPLIT(E283, "","")"),40.0)</f>
        <v>40</v>
      </c>
      <c r="G283" s="10">
        <f>IFERROR(__xludf.DUMMYFUNCTION("""COMPUTED_VALUE"""),99.0)</f>
        <v>99</v>
      </c>
      <c r="H283" s="10"/>
      <c r="I283" s="10">
        <f t="shared" si="1"/>
        <v>139</v>
      </c>
      <c r="J283" s="6">
        <f t="shared" si="2"/>
        <v>0.01344554072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7">
        <v>282.0</v>
      </c>
      <c r="B284" s="7">
        <v>7459.0</v>
      </c>
      <c r="C284" s="7">
        <v>1.0</v>
      </c>
      <c r="D284" s="7">
        <v>45.0</v>
      </c>
      <c r="E284" s="11" t="s">
        <v>283</v>
      </c>
      <c r="F284" s="9">
        <f>IFERROR(__xludf.DUMMYFUNCTION("SPLIT(E284, "","")"),114.0)</f>
        <v>114</v>
      </c>
      <c r="G284" s="10"/>
      <c r="H284" s="10"/>
      <c r="I284" s="10">
        <f t="shared" si="1"/>
        <v>114</v>
      </c>
      <c r="J284" s="6">
        <f t="shared" si="2"/>
        <v>0.01528355007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7">
        <v>283.0</v>
      </c>
      <c r="B285" s="7">
        <v>15664.0</v>
      </c>
      <c r="C285" s="7">
        <v>1.0</v>
      </c>
      <c r="D285" s="7">
        <v>25.0</v>
      </c>
      <c r="E285" s="11" t="s">
        <v>284</v>
      </c>
      <c r="F285" s="9">
        <f>IFERROR(__xludf.DUMMYFUNCTION("SPLIT(E285, "","")"),134.0)</f>
        <v>134</v>
      </c>
      <c r="G285" s="10"/>
      <c r="H285" s="10"/>
      <c r="I285" s="10">
        <f t="shared" si="1"/>
        <v>134</v>
      </c>
      <c r="J285" s="6">
        <f t="shared" si="2"/>
        <v>0.0085546476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7">
        <v>284.0</v>
      </c>
      <c r="B286" s="7">
        <v>5405.0</v>
      </c>
      <c r="C286" s="7">
        <v>2.0</v>
      </c>
      <c r="D286" s="7">
        <v>22.0</v>
      </c>
      <c r="E286" s="8" t="s">
        <v>285</v>
      </c>
      <c r="F286" s="9">
        <f>IFERROR(__xludf.DUMMYFUNCTION("SPLIT(E286, "","")"),6.0)</f>
        <v>6</v>
      </c>
      <c r="G286" s="10">
        <f>IFERROR(__xludf.DUMMYFUNCTION("""COMPUTED_VALUE"""),58.0)</f>
        <v>58</v>
      </c>
      <c r="H286" s="10"/>
      <c r="I286" s="10">
        <f t="shared" si="1"/>
        <v>64</v>
      </c>
      <c r="J286" s="6">
        <f t="shared" si="2"/>
        <v>0.01184088807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7">
        <v>285.0</v>
      </c>
      <c r="B287" s="7">
        <v>15955.0</v>
      </c>
      <c r="C287" s="7">
        <v>2.0</v>
      </c>
      <c r="D287" s="7">
        <v>4.0</v>
      </c>
      <c r="E287" s="8" t="s">
        <v>286</v>
      </c>
      <c r="F287" s="9">
        <f>IFERROR(__xludf.DUMMYFUNCTION("SPLIT(E287, "","")"),7.0)</f>
        <v>7</v>
      </c>
      <c r="G287" s="10">
        <f>IFERROR(__xludf.DUMMYFUNCTION("""COMPUTED_VALUE"""),232.0)</f>
        <v>232</v>
      </c>
      <c r="H287" s="10"/>
      <c r="I287" s="10">
        <f t="shared" si="1"/>
        <v>239</v>
      </c>
      <c r="J287" s="6">
        <f t="shared" si="2"/>
        <v>0.01497963021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7">
        <v>286.0</v>
      </c>
      <c r="B288" s="7">
        <v>12568.0</v>
      </c>
      <c r="C288" s="7">
        <v>2.0</v>
      </c>
      <c r="D288" s="7">
        <v>21.0</v>
      </c>
      <c r="E288" s="8" t="s">
        <v>287</v>
      </c>
      <c r="F288" s="9">
        <f>IFERROR(__xludf.DUMMYFUNCTION("SPLIT(E288, "","")"),33.0)</f>
        <v>33</v>
      </c>
      <c r="G288" s="10">
        <f>IFERROR(__xludf.DUMMYFUNCTION("""COMPUTED_VALUE"""),155.0)</f>
        <v>155</v>
      </c>
      <c r="H288" s="10"/>
      <c r="I288" s="10">
        <f t="shared" si="1"/>
        <v>188</v>
      </c>
      <c r="J288" s="6">
        <f t="shared" si="2"/>
        <v>0.01495862508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7">
        <v>287.0</v>
      </c>
      <c r="B289" s="7">
        <v>17092.0</v>
      </c>
      <c r="C289" s="7">
        <v>2.0</v>
      </c>
      <c r="D289" s="7">
        <v>8.0</v>
      </c>
      <c r="E289" s="8" t="s">
        <v>288</v>
      </c>
      <c r="F289" s="9">
        <f>IFERROR(__xludf.DUMMYFUNCTION("SPLIT(E289, "","")"),165.0)</f>
        <v>165</v>
      </c>
      <c r="G289" s="10">
        <f>IFERROR(__xludf.DUMMYFUNCTION("""COMPUTED_VALUE"""),12.0)</f>
        <v>12</v>
      </c>
      <c r="H289" s="10"/>
      <c r="I289" s="10">
        <f t="shared" si="1"/>
        <v>177</v>
      </c>
      <c r="J289" s="6">
        <f t="shared" si="2"/>
        <v>0.01035572198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7">
        <v>288.0</v>
      </c>
      <c r="B290" s="7">
        <v>15393.0</v>
      </c>
      <c r="C290" s="7">
        <v>3.0</v>
      </c>
      <c r="D290" s="7">
        <v>70.0</v>
      </c>
      <c r="E290" s="8" t="s">
        <v>289</v>
      </c>
      <c r="F290" s="9">
        <f>IFERROR(__xludf.DUMMYFUNCTION("SPLIT(E290, "","")"),36.0)</f>
        <v>36</v>
      </c>
      <c r="G290" s="10">
        <f>IFERROR(__xludf.DUMMYFUNCTION("""COMPUTED_VALUE"""),141.0)</f>
        <v>141</v>
      </c>
      <c r="H290" s="10">
        <f>IFERROR(__xludf.DUMMYFUNCTION("""COMPUTED_VALUE"""),55.0)</f>
        <v>55</v>
      </c>
      <c r="I290" s="10">
        <f t="shared" si="1"/>
        <v>232</v>
      </c>
      <c r="J290" s="6">
        <f t="shared" si="2"/>
        <v>0.01507178588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7">
        <v>289.0</v>
      </c>
      <c r="B291" s="7">
        <v>4183.0</v>
      </c>
      <c r="C291" s="7">
        <v>1.0</v>
      </c>
      <c r="D291" s="7">
        <v>64.0</v>
      </c>
      <c r="E291" s="11" t="s">
        <v>71</v>
      </c>
      <c r="F291" s="9">
        <f>IFERROR(__xludf.DUMMYFUNCTION("SPLIT(E291, "","")"),59.0)</f>
        <v>59</v>
      </c>
      <c r="G291" s="10"/>
      <c r="H291" s="10"/>
      <c r="I291" s="10">
        <f t="shared" si="1"/>
        <v>59</v>
      </c>
      <c r="J291" s="6">
        <f t="shared" si="2"/>
        <v>0.01410470954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7">
        <v>290.0</v>
      </c>
      <c r="B292" s="7">
        <v>24793.0</v>
      </c>
      <c r="C292" s="7">
        <v>3.0</v>
      </c>
      <c r="D292" s="7">
        <v>72.0</v>
      </c>
      <c r="E292" s="8" t="s">
        <v>290</v>
      </c>
      <c r="F292" s="9">
        <f>IFERROR(__xludf.DUMMYFUNCTION("SPLIT(E292, "","")"),96.0)</f>
        <v>96</v>
      </c>
      <c r="G292" s="10">
        <f>IFERROR(__xludf.DUMMYFUNCTION("""COMPUTED_VALUE"""),33.0)</f>
        <v>33</v>
      </c>
      <c r="H292" s="10">
        <f>IFERROR(__xludf.DUMMYFUNCTION("""COMPUTED_VALUE"""),134.0)</f>
        <v>134</v>
      </c>
      <c r="I292" s="10">
        <f t="shared" si="1"/>
        <v>263</v>
      </c>
      <c r="J292" s="6">
        <f t="shared" si="2"/>
        <v>0.01060783286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7">
        <v>291.0</v>
      </c>
      <c r="B293" s="7">
        <v>16345.0</v>
      </c>
      <c r="C293" s="7">
        <v>1.0</v>
      </c>
      <c r="D293" s="7">
        <v>28.0</v>
      </c>
      <c r="E293" s="11" t="s">
        <v>291</v>
      </c>
      <c r="F293" s="9">
        <f>IFERROR(__xludf.DUMMYFUNCTION("SPLIT(E293, "","")"),143.0)</f>
        <v>143</v>
      </c>
      <c r="G293" s="10"/>
      <c r="H293" s="10"/>
      <c r="I293" s="10">
        <f t="shared" si="1"/>
        <v>143</v>
      </c>
      <c r="J293" s="6">
        <f t="shared" si="2"/>
        <v>0.00874885286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7">
        <v>292.0</v>
      </c>
      <c r="B294" s="7">
        <v>4134.0</v>
      </c>
      <c r="C294" s="7">
        <v>1.0</v>
      </c>
      <c r="D294" s="7">
        <v>45.0</v>
      </c>
      <c r="E294" s="11" t="s">
        <v>292</v>
      </c>
      <c r="F294" s="9">
        <f>IFERROR(__xludf.DUMMYFUNCTION("SPLIT(E294, "","")"),82.0)</f>
        <v>82</v>
      </c>
      <c r="G294" s="10"/>
      <c r="H294" s="10"/>
      <c r="I294" s="10">
        <f t="shared" si="1"/>
        <v>82</v>
      </c>
      <c r="J294" s="6">
        <f t="shared" si="2"/>
        <v>0.0198355104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7">
        <v>293.0</v>
      </c>
      <c r="B295" s="7">
        <v>21773.0</v>
      </c>
      <c r="C295" s="7">
        <v>3.0</v>
      </c>
      <c r="D295" s="7">
        <v>4.0</v>
      </c>
      <c r="E295" s="8" t="s">
        <v>293</v>
      </c>
      <c r="F295" s="9">
        <f>IFERROR(__xludf.DUMMYFUNCTION("SPLIT(E295, "","")"),50.0)</f>
        <v>50</v>
      </c>
      <c r="G295" s="10">
        <f>IFERROR(__xludf.DUMMYFUNCTION("""COMPUTED_VALUE"""),51.0)</f>
        <v>51</v>
      </c>
      <c r="H295" s="10">
        <f>IFERROR(__xludf.DUMMYFUNCTION("""COMPUTED_VALUE"""),201.0)</f>
        <v>201</v>
      </c>
      <c r="I295" s="10">
        <f t="shared" si="1"/>
        <v>302</v>
      </c>
      <c r="J295" s="6">
        <f t="shared" si="2"/>
        <v>0.01387038993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7">
        <v>294.0</v>
      </c>
      <c r="B296" s="7">
        <v>6536.0</v>
      </c>
      <c r="C296" s="7">
        <v>2.0</v>
      </c>
      <c r="D296" s="7">
        <v>36.0</v>
      </c>
      <c r="E296" s="8" t="s">
        <v>294</v>
      </c>
      <c r="F296" s="9">
        <f>IFERROR(__xludf.DUMMYFUNCTION("SPLIT(E296, "","")"),30.0)</f>
        <v>30</v>
      </c>
      <c r="G296" s="10">
        <f>IFERROR(__xludf.DUMMYFUNCTION("""COMPUTED_VALUE"""),72.0)</f>
        <v>72</v>
      </c>
      <c r="H296" s="10"/>
      <c r="I296" s="10">
        <f t="shared" si="1"/>
        <v>102</v>
      </c>
      <c r="J296" s="6">
        <f t="shared" si="2"/>
        <v>0.01560587515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7">
        <v>295.0</v>
      </c>
      <c r="B297" s="7">
        <v>22160.0</v>
      </c>
      <c r="C297" s="7">
        <v>2.0</v>
      </c>
      <c r="D297" s="7">
        <v>69.0</v>
      </c>
      <c r="E297" s="8" t="s">
        <v>295</v>
      </c>
      <c r="F297" s="9">
        <f>IFERROR(__xludf.DUMMYFUNCTION("SPLIT(E297, "","")"),282.0)</f>
        <v>282</v>
      </c>
      <c r="G297" s="10">
        <f>IFERROR(__xludf.DUMMYFUNCTION("""COMPUTED_VALUE"""),113.0)</f>
        <v>113</v>
      </c>
      <c r="H297" s="10"/>
      <c r="I297" s="10">
        <f t="shared" si="1"/>
        <v>395</v>
      </c>
      <c r="J297" s="6">
        <f t="shared" si="2"/>
        <v>0.01782490975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7">
        <v>296.0</v>
      </c>
      <c r="B298" s="7">
        <v>16837.0</v>
      </c>
      <c r="C298" s="7">
        <v>2.0</v>
      </c>
      <c r="D298" s="7">
        <v>4.0</v>
      </c>
      <c r="E298" s="8" t="s">
        <v>296</v>
      </c>
      <c r="F298" s="9">
        <f>IFERROR(__xludf.DUMMYFUNCTION("SPLIT(E298, "","")"),6.0)</f>
        <v>6</v>
      </c>
      <c r="G298" s="10">
        <f>IFERROR(__xludf.DUMMYFUNCTION("""COMPUTED_VALUE"""),294.0)</f>
        <v>294</v>
      </c>
      <c r="H298" s="10"/>
      <c r="I298" s="10">
        <f t="shared" si="1"/>
        <v>300</v>
      </c>
      <c r="J298" s="6">
        <f t="shared" si="2"/>
        <v>0.01781790105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7">
        <v>297.0</v>
      </c>
      <c r="B299" s="7">
        <v>17559.0</v>
      </c>
      <c r="C299" s="7">
        <v>2.0</v>
      </c>
      <c r="D299" s="7">
        <v>42.0</v>
      </c>
      <c r="E299" s="8" t="s">
        <v>297</v>
      </c>
      <c r="F299" s="9">
        <f>IFERROR(__xludf.DUMMYFUNCTION("SPLIT(E299, "","")"),240.0)</f>
        <v>240</v>
      </c>
      <c r="G299" s="10">
        <f>IFERROR(__xludf.DUMMYFUNCTION("""COMPUTED_VALUE"""),34.0)</f>
        <v>34</v>
      </c>
      <c r="H299" s="10"/>
      <c r="I299" s="10">
        <f t="shared" si="1"/>
        <v>274</v>
      </c>
      <c r="J299" s="6">
        <f t="shared" si="2"/>
        <v>0.01560453329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7">
        <v>298.0</v>
      </c>
      <c r="B300" s="7">
        <v>8592.0</v>
      </c>
      <c r="C300" s="7">
        <v>2.0</v>
      </c>
      <c r="D300" s="7">
        <v>8.0</v>
      </c>
      <c r="E300" s="8" t="s">
        <v>298</v>
      </c>
      <c r="F300" s="9">
        <f>IFERROR(__xludf.DUMMYFUNCTION("SPLIT(E300, "","")"),39.0)</f>
        <v>39</v>
      </c>
      <c r="G300" s="10">
        <f>IFERROR(__xludf.DUMMYFUNCTION("""COMPUTED_VALUE"""),12.0)</f>
        <v>12</v>
      </c>
      <c r="H300" s="10"/>
      <c r="I300" s="10">
        <f t="shared" si="1"/>
        <v>51</v>
      </c>
      <c r="J300" s="6">
        <f t="shared" si="2"/>
        <v>0.00593575419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7">
        <v>299.0</v>
      </c>
      <c r="B301" s="7">
        <v>10862.0</v>
      </c>
      <c r="C301" s="7">
        <v>2.0</v>
      </c>
      <c r="D301" s="7">
        <v>72.0</v>
      </c>
      <c r="E301" s="8" t="s">
        <v>299</v>
      </c>
      <c r="F301" s="9">
        <f>IFERROR(__xludf.DUMMYFUNCTION("SPLIT(E301, "","")"),59.0)</f>
        <v>59</v>
      </c>
      <c r="G301" s="10">
        <f>IFERROR(__xludf.DUMMYFUNCTION("""COMPUTED_VALUE"""),63.0)</f>
        <v>63</v>
      </c>
      <c r="H301" s="10"/>
      <c r="I301" s="10">
        <f t="shared" si="1"/>
        <v>122</v>
      </c>
      <c r="J301" s="6">
        <f t="shared" si="2"/>
        <v>0.01123181734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7">
        <v>300.0</v>
      </c>
      <c r="B302" s="7">
        <v>34746.0</v>
      </c>
      <c r="C302" s="7">
        <v>3.0</v>
      </c>
      <c r="D302" s="7">
        <v>56.0</v>
      </c>
      <c r="E302" s="8" t="s">
        <v>300</v>
      </c>
      <c r="F302" s="9">
        <f>IFERROR(__xludf.DUMMYFUNCTION("SPLIT(E302, "","")"),31.0)</f>
        <v>31</v>
      </c>
      <c r="G302" s="10">
        <f>IFERROR(__xludf.DUMMYFUNCTION("""COMPUTED_VALUE"""),101.0)</f>
        <v>101</v>
      </c>
      <c r="H302" s="10">
        <f>IFERROR(__xludf.DUMMYFUNCTION("""COMPUTED_VALUE"""),284.0)</f>
        <v>284</v>
      </c>
      <c r="I302" s="10">
        <f t="shared" si="1"/>
        <v>416</v>
      </c>
      <c r="J302" s="6">
        <f t="shared" si="2"/>
        <v>0.01197260116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7">
        <v>301.0</v>
      </c>
      <c r="B303" s="7">
        <v>25663.0</v>
      </c>
      <c r="C303" s="7">
        <v>3.0</v>
      </c>
      <c r="D303" s="7">
        <v>35.0</v>
      </c>
      <c r="E303" s="8" t="s">
        <v>301</v>
      </c>
      <c r="F303" s="9">
        <f>IFERROR(__xludf.DUMMYFUNCTION("SPLIT(E303, "","")"),72.0)</f>
        <v>72</v>
      </c>
      <c r="G303" s="10">
        <f>IFERROR(__xludf.DUMMYFUNCTION("""COMPUTED_VALUE"""),191.0)</f>
        <v>191</v>
      </c>
      <c r="H303" s="10">
        <f>IFERROR(__xludf.DUMMYFUNCTION("""COMPUTED_VALUE"""),33.0)</f>
        <v>33</v>
      </c>
      <c r="I303" s="10">
        <f t="shared" si="1"/>
        <v>296</v>
      </c>
      <c r="J303" s="6">
        <f t="shared" si="2"/>
        <v>0.01153411526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7">
        <v>302.0</v>
      </c>
      <c r="B304" s="7">
        <v>4079.0</v>
      </c>
      <c r="C304" s="7">
        <v>1.0</v>
      </c>
      <c r="D304" s="7">
        <v>45.0</v>
      </c>
      <c r="E304" s="11" t="s">
        <v>302</v>
      </c>
      <c r="F304" s="9">
        <f>IFERROR(__xludf.DUMMYFUNCTION("SPLIT(E304, "","")"),79.0)</f>
        <v>79</v>
      </c>
      <c r="G304" s="10"/>
      <c r="H304" s="10"/>
      <c r="I304" s="10">
        <f t="shared" si="1"/>
        <v>79</v>
      </c>
      <c r="J304" s="6">
        <f t="shared" si="2"/>
        <v>0.01936749203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7">
        <v>303.0</v>
      </c>
      <c r="B305" s="7">
        <v>7876.0</v>
      </c>
      <c r="C305" s="7">
        <v>1.0</v>
      </c>
      <c r="D305" s="7">
        <v>60.0</v>
      </c>
      <c r="E305" s="11" t="s">
        <v>302</v>
      </c>
      <c r="F305" s="9">
        <f>IFERROR(__xludf.DUMMYFUNCTION("SPLIT(E305, "","")"),79.0)</f>
        <v>79</v>
      </c>
      <c r="G305" s="10"/>
      <c r="H305" s="10"/>
      <c r="I305" s="10">
        <f t="shared" si="1"/>
        <v>79</v>
      </c>
      <c r="J305" s="6">
        <f t="shared" si="2"/>
        <v>0.01003047232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7">
        <v>304.0</v>
      </c>
      <c r="B306" s="7">
        <v>17501.0</v>
      </c>
      <c r="C306" s="7">
        <v>3.0</v>
      </c>
      <c r="D306" s="7">
        <v>12.0</v>
      </c>
      <c r="E306" s="8" t="s">
        <v>303</v>
      </c>
      <c r="F306" s="9">
        <f>IFERROR(__xludf.DUMMYFUNCTION("SPLIT(E306, "","")"),29.0)</f>
        <v>29</v>
      </c>
      <c r="G306" s="10">
        <f>IFERROR(__xludf.DUMMYFUNCTION("""COMPUTED_VALUE"""),111.0)</f>
        <v>111</v>
      </c>
      <c r="H306" s="10">
        <f>IFERROR(__xludf.DUMMYFUNCTION("""COMPUTED_VALUE"""),118.0)</f>
        <v>118</v>
      </c>
      <c r="I306" s="10">
        <f t="shared" si="1"/>
        <v>258</v>
      </c>
      <c r="J306" s="6">
        <f t="shared" si="2"/>
        <v>0.01474201474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7">
        <v>305.0</v>
      </c>
      <c r="B307" s="7">
        <v>5619.0</v>
      </c>
      <c r="C307" s="7">
        <v>2.0</v>
      </c>
      <c r="D307" s="7">
        <v>40.0</v>
      </c>
      <c r="E307" s="8" t="s">
        <v>304</v>
      </c>
      <c r="F307" s="9">
        <f>IFERROR(__xludf.DUMMYFUNCTION("SPLIT(E307, "","")"),81.0)</f>
        <v>81</v>
      </c>
      <c r="G307" s="10">
        <f>IFERROR(__xludf.DUMMYFUNCTION("""COMPUTED_VALUE"""),11.0)</f>
        <v>11</v>
      </c>
      <c r="H307" s="10"/>
      <c r="I307" s="10">
        <f t="shared" si="1"/>
        <v>92</v>
      </c>
      <c r="J307" s="6">
        <f t="shared" si="2"/>
        <v>0.01637302011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7">
        <v>306.0</v>
      </c>
      <c r="B308" s="7">
        <v>5919.0</v>
      </c>
      <c r="C308" s="7">
        <v>1.0</v>
      </c>
      <c r="D308" s="7">
        <v>28.0</v>
      </c>
      <c r="E308" s="11" t="s">
        <v>153</v>
      </c>
      <c r="F308" s="9">
        <f>IFERROR(__xludf.DUMMYFUNCTION("SPLIT(E308, "","")"),105.0)</f>
        <v>105</v>
      </c>
      <c r="G308" s="10"/>
      <c r="H308" s="10"/>
      <c r="I308" s="10">
        <f t="shared" si="1"/>
        <v>105</v>
      </c>
      <c r="J308" s="6">
        <f t="shared" si="2"/>
        <v>0.01773948302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7">
        <v>307.0</v>
      </c>
      <c r="B309" s="7">
        <v>16155.0</v>
      </c>
      <c r="C309" s="7">
        <v>1.0</v>
      </c>
      <c r="D309" s="7">
        <v>68.0</v>
      </c>
      <c r="E309" s="11" t="s">
        <v>305</v>
      </c>
      <c r="F309" s="9">
        <f>IFERROR(__xludf.DUMMYFUNCTION("SPLIT(E309, "","")"),113.0)</f>
        <v>113</v>
      </c>
      <c r="G309" s="10"/>
      <c r="H309" s="10"/>
      <c r="I309" s="10">
        <f t="shared" si="1"/>
        <v>113</v>
      </c>
      <c r="J309" s="6">
        <f t="shared" si="2"/>
        <v>0.006994738471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7">
        <v>308.0</v>
      </c>
      <c r="B310" s="7">
        <v>12727.0</v>
      </c>
      <c r="C310" s="7">
        <v>2.0</v>
      </c>
      <c r="D310" s="7">
        <v>48.0</v>
      </c>
      <c r="E310" s="8" t="s">
        <v>306</v>
      </c>
      <c r="F310" s="9">
        <f>IFERROR(__xludf.DUMMYFUNCTION("SPLIT(E310, "","")"),95.0)</f>
        <v>95</v>
      </c>
      <c r="G310" s="10">
        <f>IFERROR(__xludf.DUMMYFUNCTION("""COMPUTED_VALUE"""),116.0)</f>
        <v>116</v>
      </c>
      <c r="H310" s="10"/>
      <c r="I310" s="10">
        <f t="shared" si="1"/>
        <v>211</v>
      </c>
      <c r="J310" s="6">
        <f t="shared" si="2"/>
        <v>0.01657892669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7">
        <v>309.0</v>
      </c>
      <c r="B311" s="7">
        <v>6699.0</v>
      </c>
      <c r="C311" s="7">
        <v>1.0</v>
      </c>
      <c r="D311" s="7">
        <v>6.0</v>
      </c>
      <c r="E311" s="11" t="s">
        <v>307</v>
      </c>
      <c r="F311" s="9">
        <f>IFERROR(__xludf.DUMMYFUNCTION("SPLIT(E311, "","")"),91.0)</f>
        <v>91</v>
      </c>
      <c r="G311" s="10"/>
      <c r="H311" s="10"/>
      <c r="I311" s="10">
        <f t="shared" si="1"/>
        <v>91</v>
      </c>
      <c r="J311" s="6">
        <f t="shared" si="2"/>
        <v>0.01358411703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7">
        <v>310.0</v>
      </c>
      <c r="B312" s="7">
        <v>15092.0</v>
      </c>
      <c r="C312" s="7">
        <v>1.0</v>
      </c>
      <c r="D312" s="7">
        <v>9.0</v>
      </c>
      <c r="E312" s="11" t="s">
        <v>308</v>
      </c>
      <c r="F312" s="9">
        <f>IFERROR(__xludf.DUMMYFUNCTION("SPLIT(E312, "","")"),95.0)</f>
        <v>95</v>
      </c>
      <c r="G312" s="10"/>
      <c r="H312" s="10"/>
      <c r="I312" s="10">
        <f t="shared" si="1"/>
        <v>95</v>
      </c>
      <c r="J312" s="6">
        <f t="shared" si="2"/>
        <v>0.006294725682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7">
        <v>311.0</v>
      </c>
      <c r="B313" s="7">
        <v>4064.0</v>
      </c>
      <c r="C313" s="7">
        <v>2.0</v>
      </c>
      <c r="D313" s="7">
        <v>50.0</v>
      </c>
      <c r="E313" s="8" t="s">
        <v>309</v>
      </c>
      <c r="F313" s="9">
        <f>IFERROR(__xludf.DUMMYFUNCTION("SPLIT(E313, "","")"),22.0)</f>
        <v>22</v>
      </c>
      <c r="G313" s="10">
        <f>IFERROR(__xludf.DUMMYFUNCTION("""COMPUTED_VALUE"""),35.0)</f>
        <v>35</v>
      </c>
      <c r="H313" s="10"/>
      <c r="I313" s="10">
        <f t="shared" si="1"/>
        <v>57</v>
      </c>
      <c r="J313" s="6">
        <f t="shared" si="2"/>
        <v>0.01402559055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7">
        <v>312.0</v>
      </c>
      <c r="B314" s="7">
        <v>16118.0</v>
      </c>
      <c r="C314" s="7">
        <v>1.0</v>
      </c>
      <c r="D314" s="7">
        <v>9.0</v>
      </c>
      <c r="E314" s="11" t="s">
        <v>310</v>
      </c>
      <c r="F314" s="9">
        <f>IFERROR(__xludf.DUMMYFUNCTION("SPLIT(E314, "","")"),260.0)</f>
        <v>260</v>
      </c>
      <c r="G314" s="10"/>
      <c r="H314" s="10"/>
      <c r="I314" s="10">
        <f t="shared" si="1"/>
        <v>260</v>
      </c>
      <c r="J314" s="6">
        <f t="shared" si="2"/>
        <v>0.01613103363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7">
        <v>313.0</v>
      </c>
      <c r="B315" s="7">
        <v>29403.0</v>
      </c>
      <c r="C315" s="7">
        <v>3.0</v>
      </c>
      <c r="D315" s="7">
        <v>16.0</v>
      </c>
      <c r="E315" s="8" t="s">
        <v>311</v>
      </c>
      <c r="F315" s="9">
        <f>IFERROR(__xludf.DUMMYFUNCTION("SPLIT(E315, "","")"),72.0)</f>
        <v>72</v>
      </c>
      <c r="G315" s="10">
        <f>IFERROR(__xludf.DUMMYFUNCTION("""COMPUTED_VALUE"""),179.0)</f>
        <v>179</v>
      </c>
      <c r="H315" s="10">
        <f>IFERROR(__xludf.DUMMYFUNCTION("""COMPUTED_VALUE"""),157.0)</f>
        <v>157</v>
      </c>
      <c r="I315" s="10">
        <f t="shared" si="1"/>
        <v>408</v>
      </c>
      <c r="J315" s="6">
        <f t="shared" si="2"/>
        <v>0.01387613509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7">
        <v>314.0</v>
      </c>
      <c r="B316" s="7">
        <v>8158.0</v>
      </c>
      <c r="C316" s="7">
        <v>2.0</v>
      </c>
      <c r="D316" s="7">
        <v>22.0</v>
      </c>
      <c r="E316" s="8" t="s">
        <v>312</v>
      </c>
      <c r="F316" s="9">
        <f>IFERROR(__xludf.DUMMYFUNCTION("SPLIT(E316, "","")"),44.0)</f>
        <v>44</v>
      </c>
      <c r="G316" s="10">
        <f>IFERROR(__xludf.DUMMYFUNCTION("""COMPUTED_VALUE"""),37.0)</f>
        <v>37</v>
      </c>
      <c r="H316" s="10"/>
      <c r="I316" s="10">
        <f t="shared" si="1"/>
        <v>81</v>
      </c>
      <c r="J316" s="6">
        <f t="shared" si="2"/>
        <v>0.009928904143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7">
        <v>315.0</v>
      </c>
      <c r="B317" s="7">
        <v>6243.0</v>
      </c>
      <c r="C317" s="7">
        <v>1.0</v>
      </c>
      <c r="D317" s="7">
        <v>60.0</v>
      </c>
      <c r="E317" s="11" t="s">
        <v>313</v>
      </c>
      <c r="F317" s="9">
        <f>IFERROR(__xludf.DUMMYFUNCTION("SPLIT(E317, "","")"),111.0)</f>
        <v>111</v>
      </c>
      <c r="G317" s="10"/>
      <c r="H317" s="10"/>
      <c r="I317" s="10">
        <f t="shared" si="1"/>
        <v>111</v>
      </c>
      <c r="J317" s="6">
        <f t="shared" si="2"/>
        <v>0.0177799135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7">
        <v>316.0</v>
      </c>
      <c r="B318" s="7">
        <v>4908.0</v>
      </c>
      <c r="C318" s="7">
        <v>2.0</v>
      </c>
      <c r="D318" s="7">
        <v>28.0</v>
      </c>
      <c r="E318" s="8" t="s">
        <v>314</v>
      </c>
      <c r="F318" s="9">
        <f>IFERROR(__xludf.DUMMYFUNCTION("SPLIT(E318, "","")"),16.0)</f>
        <v>16</v>
      </c>
      <c r="G318" s="10">
        <f>IFERROR(__xludf.DUMMYFUNCTION("""COMPUTED_VALUE"""),60.0)</f>
        <v>60</v>
      </c>
      <c r="H318" s="10"/>
      <c r="I318" s="10">
        <f t="shared" si="1"/>
        <v>76</v>
      </c>
      <c r="J318" s="6">
        <f t="shared" si="2"/>
        <v>0.01548492258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7">
        <v>317.0</v>
      </c>
      <c r="B319" s="7">
        <v>41462.0</v>
      </c>
      <c r="C319" s="7">
        <v>3.0</v>
      </c>
      <c r="D319" s="7">
        <v>4.0</v>
      </c>
      <c r="E319" s="8" t="s">
        <v>315</v>
      </c>
      <c r="F319" s="9">
        <f>IFERROR(__xludf.DUMMYFUNCTION("SPLIT(E319, "","")"),78.0)</f>
        <v>78</v>
      </c>
      <c r="G319" s="10">
        <f>IFERROR(__xludf.DUMMYFUNCTION("""COMPUTED_VALUE"""),217.0)</f>
        <v>217</v>
      </c>
      <c r="H319" s="10">
        <f>IFERROR(__xludf.DUMMYFUNCTION("""COMPUTED_VALUE"""),194.0)</f>
        <v>194</v>
      </c>
      <c r="I319" s="10">
        <f t="shared" si="1"/>
        <v>489</v>
      </c>
      <c r="J319" s="6">
        <f t="shared" si="2"/>
        <v>0.01179393179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7">
        <v>318.0</v>
      </c>
      <c r="B320" s="7">
        <v>19849.0</v>
      </c>
      <c r="C320" s="7">
        <v>2.0</v>
      </c>
      <c r="D320" s="7">
        <v>56.0</v>
      </c>
      <c r="E320" s="8" t="s">
        <v>316</v>
      </c>
      <c r="F320" s="9">
        <f>IFERROR(__xludf.DUMMYFUNCTION("SPLIT(E320, "","")"),212.0)</f>
        <v>212</v>
      </c>
      <c r="G320" s="10">
        <f>IFERROR(__xludf.DUMMYFUNCTION("""COMPUTED_VALUE"""),73.0)</f>
        <v>73</v>
      </c>
      <c r="H320" s="10"/>
      <c r="I320" s="10">
        <f t="shared" si="1"/>
        <v>285</v>
      </c>
      <c r="J320" s="6">
        <f t="shared" si="2"/>
        <v>0.01435840597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7">
        <v>319.0</v>
      </c>
      <c r="B321" s="7">
        <v>19611.0</v>
      </c>
      <c r="C321" s="7">
        <v>3.0</v>
      </c>
      <c r="D321" s="7">
        <v>36.0</v>
      </c>
      <c r="E321" s="8" t="s">
        <v>317</v>
      </c>
      <c r="F321" s="9">
        <f>IFERROR(__xludf.DUMMYFUNCTION("SPLIT(E321, "","")"),21.0)</f>
        <v>21</v>
      </c>
      <c r="G321" s="10">
        <f>IFERROR(__xludf.DUMMYFUNCTION("""COMPUTED_VALUE"""),13.0)</f>
        <v>13</v>
      </c>
      <c r="H321" s="10">
        <f>IFERROR(__xludf.DUMMYFUNCTION("""COMPUTED_VALUE"""),223.0)</f>
        <v>223</v>
      </c>
      <c r="I321" s="10">
        <f t="shared" si="1"/>
        <v>257</v>
      </c>
      <c r="J321" s="6">
        <f t="shared" si="2"/>
        <v>0.01310489011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7">
        <v>320.0</v>
      </c>
      <c r="B322" s="7">
        <v>12798.0</v>
      </c>
      <c r="C322" s="7">
        <v>2.0</v>
      </c>
      <c r="D322" s="7">
        <v>34.0</v>
      </c>
      <c r="E322" s="8" t="s">
        <v>318</v>
      </c>
      <c r="F322" s="9">
        <f>IFERROR(__xludf.DUMMYFUNCTION("SPLIT(E322, "","")"),98.0)</f>
        <v>98</v>
      </c>
      <c r="G322" s="10">
        <f>IFERROR(__xludf.DUMMYFUNCTION("""COMPUTED_VALUE"""),63.0)</f>
        <v>63</v>
      </c>
      <c r="H322" s="10"/>
      <c r="I322" s="10">
        <f t="shared" si="1"/>
        <v>161</v>
      </c>
      <c r="J322" s="6">
        <f t="shared" si="2"/>
        <v>0.01258009064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7">
        <v>321.0</v>
      </c>
      <c r="B323" s="7">
        <v>23079.0</v>
      </c>
      <c r="C323" s="7">
        <v>2.0</v>
      </c>
      <c r="D323" s="7">
        <v>12.0</v>
      </c>
      <c r="E323" s="8" t="s">
        <v>319</v>
      </c>
      <c r="F323" s="9">
        <f>IFERROR(__xludf.DUMMYFUNCTION("SPLIT(E323, "","")"),105.0)</f>
        <v>105</v>
      </c>
      <c r="G323" s="10">
        <f>IFERROR(__xludf.DUMMYFUNCTION("""COMPUTED_VALUE"""),113.0)</f>
        <v>113</v>
      </c>
      <c r="H323" s="10"/>
      <c r="I323" s="10">
        <f t="shared" si="1"/>
        <v>218</v>
      </c>
      <c r="J323" s="6">
        <f t="shared" si="2"/>
        <v>0.009445816543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7">
        <v>322.0</v>
      </c>
      <c r="B324" s="7">
        <v>34616.0</v>
      </c>
      <c r="C324" s="7">
        <v>3.0</v>
      </c>
      <c r="D324" s="7">
        <v>15.0</v>
      </c>
      <c r="E324" s="8" t="s">
        <v>320</v>
      </c>
      <c r="F324" s="9">
        <f>IFERROR(__xludf.DUMMYFUNCTION("SPLIT(E324, "","")"),268.0)</f>
        <v>268</v>
      </c>
      <c r="G324" s="10">
        <f>IFERROR(__xludf.DUMMYFUNCTION("""COMPUTED_VALUE"""),26.0)</f>
        <v>26</v>
      </c>
      <c r="H324" s="10">
        <f>IFERROR(__xludf.DUMMYFUNCTION("""COMPUTED_VALUE"""),171.0)</f>
        <v>171</v>
      </c>
      <c r="I324" s="10">
        <f t="shared" si="1"/>
        <v>465</v>
      </c>
      <c r="J324" s="6">
        <f t="shared" si="2"/>
        <v>0.01343309452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7">
        <v>323.0</v>
      </c>
      <c r="B325" s="7">
        <v>19848.0</v>
      </c>
      <c r="C325" s="7">
        <v>2.0</v>
      </c>
      <c r="D325" s="7">
        <v>54.0</v>
      </c>
      <c r="E325" s="8" t="s">
        <v>321</v>
      </c>
      <c r="F325" s="9">
        <f>IFERROR(__xludf.DUMMYFUNCTION("SPLIT(E325, "","")"),101.0)</f>
        <v>101</v>
      </c>
      <c r="G325" s="10">
        <f>IFERROR(__xludf.DUMMYFUNCTION("""COMPUTED_VALUE"""),108.0)</f>
        <v>108</v>
      </c>
      <c r="H325" s="10"/>
      <c r="I325" s="10">
        <f t="shared" si="1"/>
        <v>209</v>
      </c>
      <c r="J325" s="6">
        <f t="shared" si="2"/>
        <v>0.01053002821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7">
        <v>324.0</v>
      </c>
      <c r="B326" s="7">
        <v>3907.0</v>
      </c>
      <c r="C326" s="7">
        <v>1.0</v>
      </c>
      <c r="D326" s="7">
        <v>15.0</v>
      </c>
      <c r="E326" s="11" t="s">
        <v>164</v>
      </c>
      <c r="F326" s="9">
        <f>IFERROR(__xludf.DUMMYFUNCTION("SPLIT(E326, "","")"),56.0)</f>
        <v>56</v>
      </c>
      <c r="G326" s="10"/>
      <c r="H326" s="10"/>
      <c r="I326" s="10">
        <f t="shared" si="1"/>
        <v>56</v>
      </c>
      <c r="J326" s="6">
        <f t="shared" si="2"/>
        <v>0.01433324802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7">
        <v>325.0</v>
      </c>
      <c r="B327" s="7">
        <v>13929.0</v>
      </c>
      <c r="C327" s="7">
        <v>1.0</v>
      </c>
      <c r="D327" s="7">
        <v>33.0</v>
      </c>
      <c r="E327" s="11" t="s">
        <v>322</v>
      </c>
      <c r="F327" s="9">
        <f>IFERROR(__xludf.DUMMYFUNCTION("SPLIT(E327, "","")"),117.0)</f>
        <v>117</v>
      </c>
      <c r="G327" s="10"/>
      <c r="H327" s="10"/>
      <c r="I327" s="10">
        <f t="shared" si="1"/>
        <v>117</v>
      </c>
      <c r="J327" s="6">
        <f t="shared" si="2"/>
        <v>0.008399741546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7">
        <v>326.0</v>
      </c>
      <c r="B328" s="7">
        <v>13833.0</v>
      </c>
      <c r="C328" s="7">
        <v>1.0</v>
      </c>
      <c r="D328" s="7">
        <v>6.0</v>
      </c>
      <c r="E328" s="11" t="s">
        <v>272</v>
      </c>
      <c r="F328" s="9">
        <f>IFERROR(__xludf.DUMMYFUNCTION("SPLIT(E328, "","")"),109.0)</f>
        <v>109</v>
      </c>
      <c r="G328" s="10"/>
      <c r="H328" s="10"/>
      <c r="I328" s="10">
        <f t="shared" si="1"/>
        <v>109</v>
      </c>
      <c r="J328" s="6">
        <f t="shared" si="2"/>
        <v>0.007879707945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7">
        <v>327.0</v>
      </c>
      <c r="B329" s="7">
        <v>35678.0</v>
      </c>
      <c r="C329" s="7">
        <v>3.0</v>
      </c>
      <c r="D329" s="7">
        <v>51.0</v>
      </c>
      <c r="E329" s="8" t="s">
        <v>323</v>
      </c>
      <c r="F329" s="9">
        <f>IFERROR(__xludf.DUMMYFUNCTION("SPLIT(E329, "","")"),110.0)</f>
        <v>110</v>
      </c>
      <c r="G329" s="10">
        <f>IFERROR(__xludf.DUMMYFUNCTION("""COMPUTED_VALUE"""),312.0)</f>
        <v>312</v>
      </c>
      <c r="H329" s="10">
        <f>IFERROR(__xludf.DUMMYFUNCTION("""COMPUTED_VALUE"""),21.0)</f>
        <v>21</v>
      </c>
      <c r="I329" s="10">
        <f t="shared" si="1"/>
        <v>443</v>
      </c>
      <c r="J329" s="6">
        <f t="shared" si="2"/>
        <v>0.01241661528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7">
        <v>328.0</v>
      </c>
      <c r="B330" s="7">
        <v>4960.0</v>
      </c>
      <c r="C330" s="7">
        <v>1.0</v>
      </c>
      <c r="D330" s="7">
        <v>56.0</v>
      </c>
      <c r="E330" s="11" t="s">
        <v>324</v>
      </c>
      <c r="F330" s="9">
        <f>IFERROR(__xludf.DUMMYFUNCTION("SPLIT(E330, "","")"),65.0)</f>
        <v>65</v>
      </c>
      <c r="G330" s="10"/>
      <c r="H330" s="10"/>
      <c r="I330" s="10">
        <f t="shared" si="1"/>
        <v>65</v>
      </c>
      <c r="J330" s="6">
        <f t="shared" si="2"/>
        <v>0.01310483871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7">
        <v>329.0</v>
      </c>
      <c r="B331" s="7">
        <v>14995.0</v>
      </c>
      <c r="C331" s="7">
        <v>2.0</v>
      </c>
      <c r="D331" s="7">
        <v>42.0</v>
      </c>
      <c r="E331" s="8" t="s">
        <v>325</v>
      </c>
      <c r="F331" s="9">
        <f>IFERROR(__xludf.DUMMYFUNCTION("SPLIT(E331, "","")"),66.0)</f>
        <v>66</v>
      </c>
      <c r="G331" s="10">
        <f>IFERROR(__xludf.DUMMYFUNCTION("""COMPUTED_VALUE"""),165.0)</f>
        <v>165</v>
      </c>
      <c r="H331" s="10"/>
      <c r="I331" s="10">
        <f t="shared" si="1"/>
        <v>231</v>
      </c>
      <c r="J331" s="6">
        <f t="shared" si="2"/>
        <v>0.01540513505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7">
        <v>330.0</v>
      </c>
      <c r="B332" s="7">
        <v>6303.0</v>
      </c>
      <c r="C332" s="7">
        <v>2.0</v>
      </c>
      <c r="D332" s="7">
        <v>12.0</v>
      </c>
      <c r="E332" s="8" t="s">
        <v>326</v>
      </c>
      <c r="F332" s="9">
        <f>IFERROR(__xludf.DUMMYFUNCTION("SPLIT(E332, "","")"),21.0)</f>
        <v>21</v>
      </c>
      <c r="G332" s="10">
        <f>IFERROR(__xludf.DUMMYFUNCTION("""COMPUTED_VALUE"""),31.0)</f>
        <v>31</v>
      </c>
      <c r="H332" s="10"/>
      <c r="I332" s="10">
        <f t="shared" si="1"/>
        <v>52</v>
      </c>
      <c r="J332" s="6">
        <f t="shared" si="2"/>
        <v>0.008250039664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7">
        <v>331.0</v>
      </c>
      <c r="B333" s="7">
        <v>40853.0</v>
      </c>
      <c r="C333" s="7">
        <v>3.0</v>
      </c>
      <c r="D333" s="7">
        <v>12.0</v>
      </c>
      <c r="E333" s="8" t="s">
        <v>327</v>
      </c>
      <c r="F333" s="9">
        <f>IFERROR(__xludf.DUMMYFUNCTION("SPLIT(E333, "","")"),303.0)</f>
        <v>303</v>
      </c>
      <c r="G333" s="10">
        <f>IFERROR(__xludf.DUMMYFUNCTION("""COMPUTED_VALUE"""),91.0)</f>
        <v>91</v>
      </c>
      <c r="H333" s="10">
        <f>IFERROR(__xludf.DUMMYFUNCTION("""COMPUTED_VALUE"""),137.0)</f>
        <v>137</v>
      </c>
      <c r="I333" s="10">
        <f t="shared" si="1"/>
        <v>531</v>
      </c>
      <c r="J333" s="6">
        <f t="shared" si="2"/>
        <v>0.01299782146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7">
        <v>332.0</v>
      </c>
      <c r="B334" s="7">
        <v>4446.0</v>
      </c>
      <c r="C334" s="7">
        <v>1.0</v>
      </c>
      <c r="D334" s="7">
        <v>12.0</v>
      </c>
      <c r="E334" s="11" t="s">
        <v>328</v>
      </c>
      <c r="F334" s="9">
        <f>IFERROR(__xludf.DUMMYFUNCTION("SPLIT(E334, "","")"),55.0)</f>
        <v>55</v>
      </c>
      <c r="G334" s="10"/>
      <c r="H334" s="10"/>
      <c r="I334" s="10">
        <f t="shared" si="1"/>
        <v>55</v>
      </c>
      <c r="J334" s="6">
        <f t="shared" si="2"/>
        <v>0.01237067027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7">
        <v>333.0</v>
      </c>
      <c r="B335" s="7">
        <v>4391.0</v>
      </c>
      <c r="C335" s="7">
        <v>1.0</v>
      </c>
      <c r="D335" s="7">
        <v>58.0</v>
      </c>
      <c r="E335" s="11" t="s">
        <v>46</v>
      </c>
      <c r="F335" s="9">
        <f>IFERROR(__xludf.DUMMYFUNCTION("SPLIT(E335, "","")"),60.0)</f>
        <v>60</v>
      </c>
      <c r="G335" s="10"/>
      <c r="H335" s="10"/>
      <c r="I335" s="10">
        <f t="shared" si="1"/>
        <v>60</v>
      </c>
      <c r="J335" s="6">
        <f t="shared" si="2"/>
        <v>0.01366431337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7">
        <v>334.0</v>
      </c>
      <c r="B336" s="7">
        <v>28207.0</v>
      </c>
      <c r="C336" s="7">
        <v>3.0</v>
      </c>
      <c r="D336" s="7">
        <v>6.0</v>
      </c>
      <c r="E336" s="8" t="s">
        <v>329</v>
      </c>
      <c r="F336" s="9">
        <f>IFERROR(__xludf.DUMMYFUNCTION("SPLIT(E336, "","")"),107.0)</f>
        <v>107</v>
      </c>
      <c r="G336" s="10">
        <f>IFERROR(__xludf.DUMMYFUNCTION("""COMPUTED_VALUE"""),56.0)</f>
        <v>56</v>
      </c>
      <c r="H336" s="10">
        <f>IFERROR(__xludf.DUMMYFUNCTION("""COMPUTED_VALUE"""),126.0)</f>
        <v>126</v>
      </c>
      <c r="I336" s="10">
        <f t="shared" si="1"/>
        <v>289</v>
      </c>
      <c r="J336" s="6">
        <f t="shared" si="2"/>
        <v>0.0102456837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7">
        <v>335.0</v>
      </c>
      <c r="B337" s="7">
        <v>10513.0</v>
      </c>
      <c r="C337" s="7">
        <v>1.0</v>
      </c>
      <c r="D337" s="7">
        <v>28.0</v>
      </c>
      <c r="E337" s="11" t="s">
        <v>330</v>
      </c>
      <c r="F337" s="9">
        <f>IFERROR(__xludf.DUMMYFUNCTION("SPLIT(E337, "","")"),68.0)</f>
        <v>68</v>
      </c>
      <c r="G337" s="10"/>
      <c r="H337" s="10"/>
      <c r="I337" s="10">
        <f t="shared" si="1"/>
        <v>68</v>
      </c>
      <c r="J337" s="6">
        <f t="shared" si="2"/>
        <v>0.006468182251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7">
        <v>336.0</v>
      </c>
      <c r="B338" s="7">
        <v>4329.0</v>
      </c>
      <c r="C338" s="7">
        <v>1.0</v>
      </c>
      <c r="D338" s="7">
        <v>20.0</v>
      </c>
      <c r="E338" s="11" t="s">
        <v>209</v>
      </c>
      <c r="F338" s="9">
        <f>IFERROR(__xludf.DUMMYFUNCTION("SPLIT(E338, "","")"),47.0)</f>
        <v>47</v>
      </c>
      <c r="G338" s="10"/>
      <c r="H338" s="10"/>
      <c r="I338" s="10">
        <f t="shared" si="1"/>
        <v>47</v>
      </c>
      <c r="J338" s="6">
        <f t="shared" si="2"/>
        <v>0.01085701086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7">
        <v>337.0</v>
      </c>
      <c r="B339" s="7">
        <v>22540.0</v>
      </c>
      <c r="C339" s="7">
        <v>3.0</v>
      </c>
      <c r="D339" s="7">
        <v>48.0</v>
      </c>
      <c r="E339" s="8" t="s">
        <v>331</v>
      </c>
      <c r="F339" s="9">
        <f>IFERROR(__xludf.DUMMYFUNCTION("SPLIT(E339, "","")"),54.0)</f>
        <v>54</v>
      </c>
      <c r="G339" s="10">
        <f>IFERROR(__xludf.DUMMYFUNCTION("""COMPUTED_VALUE"""),194.0)</f>
        <v>194</v>
      </c>
      <c r="H339" s="10">
        <f>IFERROR(__xludf.DUMMYFUNCTION("""COMPUTED_VALUE"""),37.0)</f>
        <v>37</v>
      </c>
      <c r="I339" s="10">
        <f t="shared" si="1"/>
        <v>285</v>
      </c>
      <c r="J339" s="6">
        <f t="shared" si="2"/>
        <v>0.01264418811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7">
        <v>338.0</v>
      </c>
      <c r="B340" s="7">
        <v>23912.0</v>
      </c>
      <c r="C340" s="7">
        <v>3.0</v>
      </c>
      <c r="D340" s="7">
        <v>10.0</v>
      </c>
      <c r="E340" s="8" t="s">
        <v>332</v>
      </c>
      <c r="F340" s="9">
        <f>IFERROR(__xludf.DUMMYFUNCTION("SPLIT(E340, "","")"),122.0)</f>
        <v>122</v>
      </c>
      <c r="G340" s="10">
        <f>IFERROR(__xludf.DUMMYFUNCTION("""COMPUTED_VALUE"""),11.0)</f>
        <v>11</v>
      </c>
      <c r="H340" s="10">
        <f>IFERROR(__xludf.DUMMYFUNCTION("""COMPUTED_VALUE"""),105.0)</f>
        <v>105</v>
      </c>
      <c r="I340" s="10">
        <f t="shared" si="1"/>
        <v>238</v>
      </c>
      <c r="J340" s="6">
        <f t="shared" si="2"/>
        <v>0.009953161593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7">
        <v>339.0</v>
      </c>
      <c r="B341" s="7">
        <v>7559.0</v>
      </c>
      <c r="C341" s="7">
        <v>2.0</v>
      </c>
      <c r="D341" s="7">
        <v>62.0</v>
      </c>
      <c r="E341" s="8" t="s">
        <v>333</v>
      </c>
      <c r="F341" s="9">
        <f>IFERROR(__xludf.DUMMYFUNCTION("SPLIT(E341, "","")"),32.0)</f>
        <v>32</v>
      </c>
      <c r="G341" s="10">
        <f>IFERROR(__xludf.DUMMYFUNCTION("""COMPUTED_VALUE"""),33.0)</f>
        <v>33</v>
      </c>
      <c r="H341" s="10"/>
      <c r="I341" s="10">
        <f t="shared" si="1"/>
        <v>65</v>
      </c>
      <c r="J341" s="6">
        <f t="shared" si="2"/>
        <v>0.008599021035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7">
        <v>340.0</v>
      </c>
      <c r="B342" s="7">
        <v>13779.0</v>
      </c>
      <c r="C342" s="7">
        <v>1.0</v>
      </c>
      <c r="D342" s="7">
        <v>40.0</v>
      </c>
      <c r="E342" s="11" t="s">
        <v>334</v>
      </c>
      <c r="F342" s="9">
        <f>IFERROR(__xludf.DUMMYFUNCTION("SPLIT(E342, "","")"),161.0)</f>
        <v>161</v>
      </c>
      <c r="G342" s="10"/>
      <c r="H342" s="10"/>
      <c r="I342" s="10">
        <f t="shared" si="1"/>
        <v>161</v>
      </c>
      <c r="J342" s="6">
        <f t="shared" si="2"/>
        <v>0.01168444735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7">
        <v>341.0</v>
      </c>
      <c r="B343" s="7">
        <v>4628.0</v>
      </c>
      <c r="C343" s="7">
        <v>1.0</v>
      </c>
      <c r="D343" s="7">
        <v>52.0</v>
      </c>
      <c r="E343" s="11" t="s">
        <v>335</v>
      </c>
      <c r="F343" s="9">
        <f>IFERROR(__xludf.DUMMYFUNCTION("SPLIT(E343, "","")"),58.0)</f>
        <v>58</v>
      </c>
      <c r="G343" s="10"/>
      <c r="H343" s="10"/>
      <c r="I343" s="10">
        <f t="shared" si="1"/>
        <v>58</v>
      </c>
      <c r="J343" s="6">
        <f t="shared" si="2"/>
        <v>0.01253241141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7">
        <v>342.0</v>
      </c>
      <c r="B344" s="7">
        <v>3804.0</v>
      </c>
      <c r="C344" s="7">
        <v>2.0</v>
      </c>
      <c r="D344" s="7">
        <v>48.0</v>
      </c>
      <c r="E344" s="8" t="s">
        <v>336</v>
      </c>
      <c r="F344" s="9">
        <f>IFERROR(__xludf.DUMMYFUNCTION("SPLIT(E344, "","")"),6.0)</f>
        <v>6</v>
      </c>
      <c r="G344" s="10">
        <f>IFERROR(__xludf.DUMMYFUNCTION("""COMPUTED_VALUE"""),25.0)</f>
        <v>25</v>
      </c>
      <c r="H344" s="10"/>
      <c r="I344" s="10">
        <f t="shared" si="1"/>
        <v>31</v>
      </c>
      <c r="J344" s="6">
        <f t="shared" si="2"/>
        <v>0.008149316509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7">
        <v>343.0</v>
      </c>
      <c r="B345" s="7">
        <v>7859.0</v>
      </c>
      <c r="C345" s="7">
        <v>1.0</v>
      </c>
      <c r="D345" s="7">
        <v>56.0</v>
      </c>
      <c r="E345" s="11" t="s">
        <v>337</v>
      </c>
      <c r="F345" s="9">
        <f>IFERROR(__xludf.DUMMYFUNCTION("SPLIT(E345, "","")"),98.0)</f>
        <v>98</v>
      </c>
      <c r="G345" s="10"/>
      <c r="H345" s="10"/>
      <c r="I345" s="10">
        <f t="shared" si="1"/>
        <v>98</v>
      </c>
      <c r="J345" s="6">
        <f t="shared" si="2"/>
        <v>0.01246977987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7">
        <v>344.0</v>
      </c>
      <c r="B346" s="7">
        <v>4699.0</v>
      </c>
      <c r="C346" s="7">
        <v>2.0</v>
      </c>
      <c r="D346" s="7">
        <v>28.0</v>
      </c>
      <c r="E346" s="8" t="s">
        <v>338</v>
      </c>
      <c r="F346" s="9">
        <f>IFERROR(__xludf.DUMMYFUNCTION("SPLIT(E346, "","")"),33.0)</f>
        <v>33</v>
      </c>
      <c r="G346" s="10">
        <f>IFERROR(__xludf.DUMMYFUNCTION("""COMPUTED_VALUE"""),25.0)</f>
        <v>25</v>
      </c>
      <c r="H346" s="10"/>
      <c r="I346" s="10">
        <f t="shared" si="1"/>
        <v>58</v>
      </c>
      <c r="J346" s="6">
        <f t="shared" si="2"/>
        <v>0.01234305171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7">
        <v>345.0</v>
      </c>
      <c r="B347" s="7">
        <v>12204.0</v>
      </c>
      <c r="C347" s="7">
        <v>2.0</v>
      </c>
      <c r="D347" s="7">
        <v>64.0</v>
      </c>
      <c r="E347" s="8" t="s">
        <v>339</v>
      </c>
      <c r="F347" s="9">
        <f>IFERROR(__xludf.DUMMYFUNCTION("SPLIT(E347, "","")"),15.0)</f>
        <v>15</v>
      </c>
      <c r="G347" s="10">
        <f>IFERROR(__xludf.DUMMYFUNCTION("""COMPUTED_VALUE"""),59.0)</f>
        <v>59</v>
      </c>
      <c r="H347" s="10"/>
      <c r="I347" s="10">
        <f t="shared" si="1"/>
        <v>74</v>
      </c>
      <c r="J347" s="6">
        <f t="shared" si="2"/>
        <v>0.00606358571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7">
        <v>346.0</v>
      </c>
      <c r="B348" s="7">
        <v>4873.0</v>
      </c>
      <c r="C348" s="7">
        <v>1.0</v>
      </c>
      <c r="D348" s="7">
        <v>25.0</v>
      </c>
      <c r="E348" s="11" t="s">
        <v>340</v>
      </c>
      <c r="F348" s="9">
        <f>IFERROR(__xludf.DUMMYFUNCTION("SPLIT(E348, "","")"),78.0)</f>
        <v>78</v>
      </c>
      <c r="G348" s="10"/>
      <c r="H348" s="10"/>
      <c r="I348" s="10">
        <f t="shared" si="1"/>
        <v>78</v>
      </c>
      <c r="J348" s="6">
        <f t="shared" si="2"/>
        <v>0.0160065668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7">
        <v>347.0</v>
      </c>
      <c r="B349" s="7">
        <v>3560.0</v>
      </c>
      <c r="C349" s="7">
        <v>1.0</v>
      </c>
      <c r="D349" s="7">
        <v>70.0</v>
      </c>
      <c r="E349" s="11" t="s">
        <v>341</v>
      </c>
      <c r="F349" s="9">
        <f>IFERROR(__xludf.DUMMYFUNCTION("SPLIT(E349, "","")"),57.0)</f>
        <v>57</v>
      </c>
      <c r="G349" s="10"/>
      <c r="H349" s="10"/>
      <c r="I349" s="10">
        <f t="shared" si="1"/>
        <v>57</v>
      </c>
      <c r="J349" s="6">
        <f t="shared" si="2"/>
        <v>0.01601123596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7">
        <v>348.0</v>
      </c>
      <c r="B350" s="7">
        <v>5311.0</v>
      </c>
      <c r="C350" s="7">
        <v>1.0</v>
      </c>
      <c r="D350" s="7">
        <v>24.0</v>
      </c>
      <c r="E350" s="11" t="s">
        <v>164</v>
      </c>
      <c r="F350" s="9">
        <f>IFERROR(__xludf.DUMMYFUNCTION("SPLIT(E350, "","")"),56.0)</f>
        <v>56</v>
      </c>
      <c r="G350" s="10"/>
      <c r="H350" s="10"/>
      <c r="I350" s="10">
        <f t="shared" si="1"/>
        <v>56</v>
      </c>
      <c r="J350" s="6">
        <f t="shared" si="2"/>
        <v>0.01054415364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7">
        <v>349.0</v>
      </c>
      <c r="B351" s="7">
        <v>31309.0</v>
      </c>
      <c r="C351" s="7">
        <v>3.0</v>
      </c>
      <c r="D351" s="7">
        <v>32.0</v>
      </c>
      <c r="E351" s="8" t="s">
        <v>342</v>
      </c>
      <c r="F351" s="9">
        <f>IFERROR(__xludf.DUMMYFUNCTION("SPLIT(E351, "","")"),122.0)</f>
        <v>122</v>
      </c>
      <c r="G351" s="10">
        <f>IFERROR(__xludf.DUMMYFUNCTION("""COMPUTED_VALUE"""),194.0)</f>
        <v>194</v>
      </c>
      <c r="H351" s="10">
        <f>IFERROR(__xludf.DUMMYFUNCTION("""COMPUTED_VALUE"""),144.0)</f>
        <v>144</v>
      </c>
      <c r="I351" s="10">
        <f t="shared" si="1"/>
        <v>460</v>
      </c>
      <c r="J351" s="6">
        <f t="shared" si="2"/>
        <v>0.01469226101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7">
        <v>350.0</v>
      </c>
      <c r="B352" s="7">
        <v>26692.0</v>
      </c>
      <c r="C352" s="7">
        <v>2.0</v>
      </c>
      <c r="D352" s="7">
        <v>18.0</v>
      </c>
      <c r="E352" s="8" t="s">
        <v>343</v>
      </c>
      <c r="F352" s="9">
        <f>IFERROR(__xludf.DUMMYFUNCTION("SPLIT(E352, "","")"),52.0)</f>
        <v>52</v>
      </c>
      <c r="G352" s="10">
        <f>IFERROR(__xludf.DUMMYFUNCTION("""COMPUTED_VALUE"""),304.0)</f>
        <v>304</v>
      </c>
      <c r="H352" s="10"/>
      <c r="I352" s="10">
        <f t="shared" si="1"/>
        <v>356</v>
      </c>
      <c r="J352" s="6">
        <f t="shared" si="2"/>
        <v>0.01333732954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7">
        <v>351.0</v>
      </c>
      <c r="B353" s="7">
        <v>26710.0</v>
      </c>
      <c r="C353" s="7">
        <v>3.0</v>
      </c>
      <c r="D353" s="7">
        <v>48.0</v>
      </c>
      <c r="E353" s="8" t="s">
        <v>344</v>
      </c>
      <c r="F353" s="9">
        <f>IFERROR(__xludf.DUMMYFUNCTION("SPLIT(E353, "","")"),137.0)</f>
        <v>137</v>
      </c>
      <c r="G353" s="10">
        <f>IFERROR(__xludf.DUMMYFUNCTION("""COMPUTED_VALUE"""),195.0)</f>
        <v>195</v>
      </c>
      <c r="H353" s="10">
        <f>IFERROR(__xludf.DUMMYFUNCTION("""COMPUTED_VALUE"""),29.0)</f>
        <v>29</v>
      </c>
      <c r="I353" s="10">
        <f t="shared" si="1"/>
        <v>361</v>
      </c>
      <c r="J353" s="6">
        <f t="shared" si="2"/>
        <v>0.01351553725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7">
        <v>352.0</v>
      </c>
      <c r="B354" s="7">
        <v>3580.0</v>
      </c>
      <c r="C354" s="7">
        <v>1.0</v>
      </c>
      <c r="D354" s="7">
        <v>40.0</v>
      </c>
      <c r="E354" s="11" t="s">
        <v>144</v>
      </c>
      <c r="F354" s="9">
        <f>IFERROR(__xludf.DUMMYFUNCTION("SPLIT(E354, "","")"),38.0)</f>
        <v>38</v>
      </c>
      <c r="G354" s="10"/>
      <c r="H354" s="10"/>
      <c r="I354" s="10">
        <f t="shared" si="1"/>
        <v>38</v>
      </c>
      <c r="J354" s="6">
        <f t="shared" si="2"/>
        <v>0.01061452514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7">
        <v>353.0</v>
      </c>
      <c r="B355" s="7">
        <v>3983.0</v>
      </c>
      <c r="C355" s="7">
        <v>1.0</v>
      </c>
      <c r="D355" s="7">
        <v>28.0</v>
      </c>
      <c r="E355" s="11" t="s">
        <v>345</v>
      </c>
      <c r="F355" s="9">
        <f>IFERROR(__xludf.DUMMYFUNCTION("SPLIT(E355, "","")"),48.0)</f>
        <v>48</v>
      </c>
      <c r="G355" s="10"/>
      <c r="H355" s="10"/>
      <c r="I355" s="10">
        <f t="shared" si="1"/>
        <v>48</v>
      </c>
      <c r="J355" s="6">
        <f t="shared" si="2"/>
        <v>0.01205121768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7">
        <v>354.0</v>
      </c>
      <c r="B356" s="7">
        <v>23043.0</v>
      </c>
      <c r="C356" s="7">
        <v>3.0</v>
      </c>
      <c r="D356" s="7">
        <v>30.0</v>
      </c>
      <c r="E356" s="8" t="s">
        <v>346</v>
      </c>
      <c r="F356" s="9">
        <f>IFERROR(__xludf.DUMMYFUNCTION("SPLIT(E356, "","")"),10.0)</f>
        <v>10</v>
      </c>
      <c r="G356" s="10">
        <f>IFERROR(__xludf.DUMMYFUNCTION("""COMPUTED_VALUE"""),48.0)</f>
        <v>48</v>
      </c>
      <c r="H356" s="10">
        <f>IFERROR(__xludf.DUMMYFUNCTION("""COMPUTED_VALUE"""),257.0)</f>
        <v>257</v>
      </c>
      <c r="I356" s="10">
        <f t="shared" si="1"/>
        <v>315</v>
      </c>
      <c r="J356" s="6">
        <f t="shared" si="2"/>
        <v>0.01367009504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7">
        <v>355.0</v>
      </c>
      <c r="B357" s="7">
        <v>3824.0</v>
      </c>
      <c r="C357" s="7">
        <v>1.0</v>
      </c>
      <c r="D357" s="7">
        <v>74.0</v>
      </c>
      <c r="E357" s="11" t="s">
        <v>118</v>
      </c>
      <c r="F357" s="9">
        <f>IFERROR(__xludf.DUMMYFUNCTION("SPLIT(E357, "","")"),61.0)</f>
        <v>61</v>
      </c>
      <c r="G357" s="10"/>
      <c r="H357" s="10"/>
      <c r="I357" s="10">
        <f t="shared" si="1"/>
        <v>61</v>
      </c>
      <c r="J357" s="6">
        <f t="shared" si="2"/>
        <v>0.01595188285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7">
        <v>356.0</v>
      </c>
      <c r="B358" s="7">
        <v>29143.0</v>
      </c>
      <c r="C358" s="7">
        <v>2.0</v>
      </c>
      <c r="D358" s="7">
        <v>9.0</v>
      </c>
      <c r="E358" s="8" t="s">
        <v>347</v>
      </c>
      <c r="F358" s="9">
        <f>IFERROR(__xludf.DUMMYFUNCTION("SPLIT(E358, "","")"),116.0)</f>
        <v>116</v>
      </c>
      <c r="G358" s="10">
        <f>IFERROR(__xludf.DUMMYFUNCTION("""COMPUTED_VALUE"""),270.0)</f>
        <v>270</v>
      </c>
      <c r="H358" s="10"/>
      <c r="I358" s="10">
        <f t="shared" si="1"/>
        <v>386</v>
      </c>
      <c r="J358" s="6">
        <f t="shared" si="2"/>
        <v>0.01324503311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7">
        <v>357.0</v>
      </c>
      <c r="B359" s="7">
        <v>4132.0</v>
      </c>
      <c r="C359" s="7">
        <v>1.0</v>
      </c>
      <c r="D359" s="7">
        <v>48.0</v>
      </c>
      <c r="E359" s="11" t="s">
        <v>348</v>
      </c>
      <c r="F359" s="9">
        <f>IFERROR(__xludf.DUMMYFUNCTION("SPLIT(E359, "","")"),50.0)</f>
        <v>50</v>
      </c>
      <c r="G359" s="10"/>
      <c r="H359" s="10"/>
      <c r="I359" s="10">
        <f t="shared" si="1"/>
        <v>50</v>
      </c>
      <c r="J359" s="6">
        <f t="shared" si="2"/>
        <v>0.01210067764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7">
        <v>358.0</v>
      </c>
      <c r="B360" s="7">
        <v>27794.0</v>
      </c>
      <c r="C360" s="7">
        <v>3.0</v>
      </c>
      <c r="D360" s="7">
        <v>70.0</v>
      </c>
      <c r="E360" s="8" t="s">
        <v>349</v>
      </c>
      <c r="F360" s="9">
        <f>IFERROR(__xludf.DUMMYFUNCTION("SPLIT(E360, "","")"),39.0)</f>
        <v>39</v>
      </c>
      <c r="G360" s="10">
        <f>IFERROR(__xludf.DUMMYFUNCTION("""COMPUTED_VALUE"""),277.0)</f>
        <v>277</v>
      </c>
      <c r="H360" s="10">
        <f>IFERROR(__xludf.DUMMYFUNCTION("""COMPUTED_VALUE"""),81.0)</f>
        <v>81</v>
      </c>
      <c r="I360" s="10">
        <f t="shared" si="1"/>
        <v>397</v>
      </c>
      <c r="J360" s="6">
        <f t="shared" si="2"/>
        <v>0.01428365834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7">
        <v>359.0</v>
      </c>
      <c r="B361" s="7">
        <v>3718.0</v>
      </c>
      <c r="C361" s="7">
        <v>1.0</v>
      </c>
      <c r="D361" s="7">
        <v>60.0</v>
      </c>
      <c r="E361" s="11" t="s">
        <v>46</v>
      </c>
      <c r="F361" s="9">
        <f>IFERROR(__xludf.DUMMYFUNCTION("SPLIT(E361, "","")"),60.0)</f>
        <v>60</v>
      </c>
      <c r="G361" s="10"/>
      <c r="H361" s="10"/>
      <c r="I361" s="10">
        <f t="shared" si="1"/>
        <v>60</v>
      </c>
      <c r="J361" s="6">
        <f t="shared" si="2"/>
        <v>0.01613770845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7">
        <v>360.0</v>
      </c>
      <c r="B362" s="7">
        <v>19397.0</v>
      </c>
      <c r="C362" s="7">
        <v>3.0</v>
      </c>
      <c r="D362" s="7">
        <v>60.0</v>
      </c>
      <c r="E362" s="8" t="s">
        <v>350</v>
      </c>
      <c r="F362" s="9">
        <f>IFERROR(__xludf.DUMMYFUNCTION("SPLIT(E362, "","")"),133.0)</f>
        <v>133</v>
      </c>
      <c r="G362" s="10">
        <f>IFERROR(__xludf.DUMMYFUNCTION("""COMPUTED_VALUE"""),70.0)</f>
        <v>70</v>
      </c>
      <c r="H362" s="10">
        <f>IFERROR(__xludf.DUMMYFUNCTION("""COMPUTED_VALUE"""),109.0)</f>
        <v>109</v>
      </c>
      <c r="I362" s="10">
        <f t="shared" si="1"/>
        <v>312</v>
      </c>
      <c r="J362" s="6">
        <f t="shared" si="2"/>
        <v>0.01608496159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7">
        <v>361.0</v>
      </c>
      <c r="B363" s="7">
        <v>6987.0</v>
      </c>
      <c r="C363" s="7">
        <v>1.0</v>
      </c>
      <c r="D363" s="7">
        <v>40.0</v>
      </c>
      <c r="E363" s="11" t="s">
        <v>351</v>
      </c>
      <c r="F363" s="9">
        <f>IFERROR(__xludf.DUMMYFUNCTION("SPLIT(E363, "","")"),36.0)</f>
        <v>36</v>
      </c>
      <c r="G363" s="10"/>
      <c r="H363" s="10"/>
      <c r="I363" s="10">
        <f t="shared" si="1"/>
        <v>36</v>
      </c>
      <c r="J363" s="6">
        <f t="shared" si="2"/>
        <v>0.005152425934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7">
        <v>362.0</v>
      </c>
      <c r="B364" s="7">
        <v>20496.0</v>
      </c>
      <c r="C364" s="7">
        <v>2.0</v>
      </c>
      <c r="D364" s="7">
        <v>60.0</v>
      </c>
      <c r="E364" s="8" t="s">
        <v>352</v>
      </c>
      <c r="F364" s="9">
        <f>IFERROR(__xludf.DUMMYFUNCTION("SPLIT(E364, "","")"),253.0)</f>
        <v>253</v>
      </c>
      <c r="G364" s="10">
        <f>IFERROR(__xludf.DUMMYFUNCTION("""COMPUTED_VALUE"""),41.0)</f>
        <v>41</v>
      </c>
      <c r="H364" s="10"/>
      <c r="I364" s="10">
        <f t="shared" si="1"/>
        <v>294</v>
      </c>
      <c r="J364" s="6">
        <f t="shared" si="2"/>
        <v>0.0143442623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7">
        <v>363.0</v>
      </c>
      <c r="B365" s="7">
        <v>3930.0</v>
      </c>
      <c r="C365" s="7">
        <v>2.0</v>
      </c>
      <c r="D365" s="7">
        <v>69.0</v>
      </c>
      <c r="E365" s="8" t="s">
        <v>353</v>
      </c>
      <c r="F365" s="9">
        <f>IFERROR(__xludf.DUMMYFUNCTION("SPLIT(E365, "","")"),7.0)</f>
        <v>7</v>
      </c>
      <c r="G365" s="10">
        <f>IFERROR(__xludf.DUMMYFUNCTION("""COMPUTED_VALUE"""),47.0)</f>
        <v>47</v>
      </c>
      <c r="H365" s="10"/>
      <c r="I365" s="10">
        <f t="shared" si="1"/>
        <v>54</v>
      </c>
      <c r="J365" s="6">
        <f t="shared" si="2"/>
        <v>0.01374045802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7">
        <v>364.0</v>
      </c>
      <c r="B366" s="7">
        <v>12494.0</v>
      </c>
      <c r="C366" s="7">
        <v>2.0</v>
      </c>
      <c r="D366" s="7">
        <v>30.0</v>
      </c>
      <c r="E366" s="8" t="s">
        <v>354</v>
      </c>
      <c r="F366" s="9">
        <f>IFERROR(__xludf.DUMMYFUNCTION("SPLIT(E366, "","")"),177.0)</f>
        <v>177</v>
      </c>
      <c r="G366" s="10">
        <f>IFERROR(__xludf.DUMMYFUNCTION("""COMPUTED_VALUE"""),52.0)</f>
        <v>52</v>
      </c>
      <c r="H366" s="10"/>
      <c r="I366" s="10">
        <f t="shared" si="1"/>
        <v>229</v>
      </c>
      <c r="J366" s="6">
        <f t="shared" si="2"/>
        <v>0.01832879782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7">
        <v>365.0</v>
      </c>
      <c r="B367" s="7">
        <v>13310.0</v>
      </c>
      <c r="C367" s="7">
        <v>2.0</v>
      </c>
      <c r="D367" s="7">
        <v>27.0</v>
      </c>
      <c r="E367" s="8" t="s">
        <v>355</v>
      </c>
      <c r="F367" s="9">
        <f>IFERROR(__xludf.DUMMYFUNCTION("SPLIT(E367, "","")"),140.0)</f>
        <v>140</v>
      </c>
      <c r="G367" s="10">
        <f>IFERROR(__xludf.DUMMYFUNCTION("""COMPUTED_VALUE"""),17.0)</f>
        <v>17</v>
      </c>
      <c r="H367" s="10"/>
      <c r="I367" s="10">
        <f t="shared" si="1"/>
        <v>157</v>
      </c>
      <c r="J367" s="6">
        <f t="shared" si="2"/>
        <v>0.01179564237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7">
        <v>366.0</v>
      </c>
      <c r="B368" s="7">
        <v>33787.0</v>
      </c>
      <c r="C368" s="7">
        <v>3.0</v>
      </c>
      <c r="D368" s="7">
        <v>27.0</v>
      </c>
      <c r="E368" s="8" t="s">
        <v>356</v>
      </c>
      <c r="F368" s="9">
        <f>IFERROR(__xludf.DUMMYFUNCTION("SPLIT(E368, "","")"),158.0)</f>
        <v>158</v>
      </c>
      <c r="G368" s="10">
        <f>IFERROR(__xludf.DUMMYFUNCTION("""COMPUTED_VALUE"""),228.0)</f>
        <v>228</v>
      </c>
      <c r="H368" s="10">
        <f>IFERROR(__xludf.DUMMYFUNCTION("""COMPUTED_VALUE"""),21.0)</f>
        <v>21</v>
      </c>
      <c r="I368" s="10">
        <f t="shared" si="1"/>
        <v>407</v>
      </c>
      <c r="J368" s="6">
        <f t="shared" si="2"/>
        <v>0.01204605322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7">
        <v>367.0</v>
      </c>
      <c r="B369" s="7">
        <v>7741.0</v>
      </c>
      <c r="C369" s="7">
        <v>1.0</v>
      </c>
      <c r="D369" s="7">
        <v>64.0</v>
      </c>
      <c r="E369" s="11" t="s">
        <v>164</v>
      </c>
      <c r="F369" s="9">
        <f>IFERROR(__xludf.DUMMYFUNCTION("SPLIT(E369, "","")"),56.0)</f>
        <v>56</v>
      </c>
      <c r="G369" s="10"/>
      <c r="H369" s="10"/>
      <c r="I369" s="10">
        <f t="shared" si="1"/>
        <v>56</v>
      </c>
      <c r="J369" s="6">
        <f t="shared" si="2"/>
        <v>0.007234207467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7">
        <v>368.0</v>
      </c>
      <c r="B370" s="7">
        <v>10094.0</v>
      </c>
      <c r="C370" s="7">
        <v>1.0</v>
      </c>
      <c r="D370" s="7">
        <v>6.0</v>
      </c>
      <c r="E370" s="11" t="s">
        <v>357</v>
      </c>
      <c r="F370" s="9">
        <f>IFERROR(__xludf.DUMMYFUNCTION("SPLIT(E370, "","")"),89.0)</f>
        <v>89</v>
      </c>
      <c r="G370" s="10"/>
      <c r="H370" s="10"/>
      <c r="I370" s="10">
        <f t="shared" si="1"/>
        <v>89</v>
      </c>
      <c r="J370" s="6">
        <f t="shared" si="2"/>
        <v>0.008817119081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7">
        <v>369.0</v>
      </c>
      <c r="B371" s="7">
        <v>17997.0</v>
      </c>
      <c r="C371" s="7">
        <v>3.0</v>
      </c>
      <c r="D371" s="7">
        <v>60.0</v>
      </c>
      <c r="E371" s="8" t="s">
        <v>358</v>
      </c>
      <c r="F371" s="9">
        <f>IFERROR(__xludf.DUMMYFUNCTION("SPLIT(E371, "","")"),24.0)</f>
        <v>24</v>
      </c>
      <c r="G371" s="10">
        <f>IFERROR(__xludf.DUMMYFUNCTION("""COMPUTED_VALUE"""),92.0)</f>
        <v>92</v>
      </c>
      <c r="H371" s="10">
        <f>IFERROR(__xludf.DUMMYFUNCTION("""COMPUTED_VALUE"""),90.0)</f>
        <v>90</v>
      </c>
      <c r="I371" s="10">
        <f t="shared" si="1"/>
        <v>206</v>
      </c>
      <c r="J371" s="6">
        <f t="shared" si="2"/>
        <v>0.01144635217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7">
        <v>370.0</v>
      </c>
      <c r="B372" s="7">
        <v>21498.0</v>
      </c>
      <c r="C372" s="7">
        <v>3.0</v>
      </c>
      <c r="D372" s="7">
        <v>63.0</v>
      </c>
      <c r="E372" s="8" t="s">
        <v>359</v>
      </c>
      <c r="F372" s="9">
        <f>IFERROR(__xludf.DUMMYFUNCTION("SPLIT(E372, "","")"),94.0)</f>
        <v>94</v>
      </c>
      <c r="G372" s="10">
        <f>IFERROR(__xludf.DUMMYFUNCTION("""COMPUTED_VALUE"""),39.0)</f>
        <v>39</v>
      </c>
      <c r="H372" s="10">
        <f>IFERROR(__xludf.DUMMYFUNCTION("""COMPUTED_VALUE"""),64.0)</f>
        <v>64</v>
      </c>
      <c r="I372" s="10">
        <f t="shared" si="1"/>
        <v>197</v>
      </c>
      <c r="J372" s="6">
        <f t="shared" si="2"/>
        <v>0.00916364313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7">
        <v>371.0</v>
      </c>
      <c r="B373" s="7">
        <v>27891.0</v>
      </c>
      <c r="C373" s="7">
        <v>2.0</v>
      </c>
      <c r="D373" s="7">
        <v>36.0</v>
      </c>
      <c r="E373" s="8" t="s">
        <v>360</v>
      </c>
      <c r="F373" s="9">
        <f>IFERROR(__xludf.DUMMYFUNCTION("SPLIT(E373, "","")"),117.0)</f>
        <v>117</v>
      </c>
      <c r="G373" s="10">
        <f>IFERROR(__xludf.DUMMYFUNCTION("""COMPUTED_VALUE"""),243.0)</f>
        <v>243</v>
      </c>
      <c r="H373" s="10"/>
      <c r="I373" s="10">
        <f t="shared" si="1"/>
        <v>360</v>
      </c>
      <c r="J373" s="6">
        <f t="shared" si="2"/>
        <v>0.01290738948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7">
        <v>372.0</v>
      </c>
      <c r="B374" s="7">
        <v>7473.0</v>
      </c>
      <c r="C374" s="7">
        <v>1.0</v>
      </c>
      <c r="D374" s="7">
        <v>60.0</v>
      </c>
      <c r="E374" s="11" t="s">
        <v>361</v>
      </c>
      <c r="F374" s="9">
        <f>IFERROR(__xludf.DUMMYFUNCTION("SPLIT(E374, "","")"),97.0)</f>
        <v>97</v>
      </c>
      <c r="G374" s="10"/>
      <c r="H374" s="10"/>
      <c r="I374" s="10">
        <f t="shared" si="1"/>
        <v>97</v>
      </c>
      <c r="J374" s="6">
        <f t="shared" si="2"/>
        <v>0.01298006155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7">
        <v>373.0</v>
      </c>
      <c r="B375" s="7">
        <v>15444.0</v>
      </c>
      <c r="C375" s="7">
        <v>1.0</v>
      </c>
      <c r="D375" s="7">
        <v>64.0</v>
      </c>
      <c r="E375" s="11" t="s">
        <v>310</v>
      </c>
      <c r="F375" s="9">
        <f>IFERROR(__xludf.DUMMYFUNCTION("SPLIT(E375, "","")"),260.0)</f>
        <v>260</v>
      </c>
      <c r="G375" s="10"/>
      <c r="H375" s="10"/>
      <c r="I375" s="10">
        <f t="shared" si="1"/>
        <v>260</v>
      </c>
      <c r="J375" s="6">
        <f t="shared" si="2"/>
        <v>0.01683501684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7">
        <v>374.0</v>
      </c>
      <c r="B376" s="7">
        <v>11128.0</v>
      </c>
      <c r="C376" s="7">
        <v>2.0</v>
      </c>
      <c r="D376" s="7">
        <v>55.0</v>
      </c>
      <c r="E376" s="8" t="s">
        <v>362</v>
      </c>
      <c r="F376" s="9">
        <f>IFERROR(__xludf.DUMMYFUNCTION("SPLIT(E376, "","")"),6.0)</f>
        <v>6</v>
      </c>
      <c r="G376" s="10">
        <f>IFERROR(__xludf.DUMMYFUNCTION("""COMPUTED_VALUE"""),204.0)</f>
        <v>204</v>
      </c>
      <c r="H376" s="10"/>
      <c r="I376" s="10">
        <f t="shared" si="1"/>
        <v>210</v>
      </c>
      <c r="J376" s="6">
        <f t="shared" si="2"/>
        <v>0.0188713156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7">
        <v>375.0</v>
      </c>
      <c r="B377" s="7">
        <v>28159.0</v>
      </c>
      <c r="C377" s="7">
        <v>3.0</v>
      </c>
      <c r="D377" s="7">
        <v>60.0</v>
      </c>
      <c r="E377" s="8" t="s">
        <v>363</v>
      </c>
      <c r="F377" s="9">
        <f>IFERROR(__xludf.DUMMYFUNCTION("SPLIT(E377, "","")"),103.0)</f>
        <v>103</v>
      </c>
      <c r="G377" s="10">
        <f>IFERROR(__xludf.DUMMYFUNCTION("""COMPUTED_VALUE"""),99.0)</f>
        <v>99</v>
      </c>
      <c r="H377" s="10">
        <f>IFERROR(__xludf.DUMMYFUNCTION("""COMPUTED_VALUE"""),209.0)</f>
        <v>209</v>
      </c>
      <c r="I377" s="10">
        <f t="shared" si="1"/>
        <v>411</v>
      </c>
      <c r="J377" s="6">
        <f t="shared" si="2"/>
        <v>0.01459568877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7">
        <v>376.0</v>
      </c>
      <c r="B378" s="7">
        <v>19799.0</v>
      </c>
      <c r="C378" s="7">
        <v>2.0</v>
      </c>
      <c r="D378" s="7">
        <v>56.0</v>
      </c>
      <c r="E378" s="8" t="s">
        <v>364</v>
      </c>
      <c r="F378" s="9">
        <f>IFERROR(__xludf.DUMMYFUNCTION("SPLIT(E378, "","")"),62.0)</f>
        <v>62</v>
      </c>
      <c r="G378" s="10">
        <f>IFERROR(__xludf.DUMMYFUNCTION("""COMPUTED_VALUE"""),242.0)</f>
        <v>242</v>
      </c>
      <c r="H378" s="10"/>
      <c r="I378" s="10">
        <f t="shared" si="1"/>
        <v>304</v>
      </c>
      <c r="J378" s="6">
        <f t="shared" si="2"/>
        <v>0.01535431082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7">
        <v>377.0</v>
      </c>
      <c r="B379" s="7">
        <v>26522.0</v>
      </c>
      <c r="C379" s="7">
        <v>3.0</v>
      </c>
      <c r="D379" s="7">
        <v>66.0</v>
      </c>
      <c r="E379" s="8" t="s">
        <v>365</v>
      </c>
      <c r="F379" s="9">
        <f>IFERROR(__xludf.DUMMYFUNCTION("SPLIT(E379, "","")"),160.0)</f>
        <v>160</v>
      </c>
      <c r="G379" s="10">
        <f>IFERROR(__xludf.DUMMYFUNCTION("""COMPUTED_VALUE"""),35.0)</f>
        <v>35</v>
      </c>
      <c r="H379" s="10">
        <f>IFERROR(__xludf.DUMMYFUNCTION("""COMPUTED_VALUE"""),65.0)</f>
        <v>65</v>
      </c>
      <c r="I379" s="10">
        <f t="shared" si="1"/>
        <v>260</v>
      </c>
      <c r="J379" s="6">
        <f t="shared" si="2"/>
        <v>0.009803182264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7">
        <v>378.0</v>
      </c>
      <c r="B380" s="7">
        <v>34837.0</v>
      </c>
      <c r="C380" s="7">
        <v>3.0</v>
      </c>
      <c r="D380" s="7">
        <v>24.0</v>
      </c>
      <c r="E380" s="8" t="s">
        <v>366</v>
      </c>
      <c r="F380" s="9">
        <f>IFERROR(__xludf.DUMMYFUNCTION("SPLIT(E380, "","")"),72.0)</f>
        <v>72</v>
      </c>
      <c r="G380" s="10">
        <f>IFERROR(__xludf.DUMMYFUNCTION("""COMPUTED_VALUE"""),292.0)</f>
        <v>292</v>
      </c>
      <c r="H380" s="10">
        <f>IFERROR(__xludf.DUMMYFUNCTION("""COMPUTED_VALUE"""),212.0)</f>
        <v>212</v>
      </c>
      <c r="I380" s="10">
        <f t="shared" si="1"/>
        <v>576</v>
      </c>
      <c r="J380" s="6">
        <f t="shared" si="2"/>
        <v>0.01653414473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7">
        <v>379.0</v>
      </c>
      <c r="B381" s="7">
        <v>33174.0</v>
      </c>
      <c r="C381" s="7">
        <v>3.0</v>
      </c>
      <c r="D381" s="7">
        <v>45.0</v>
      </c>
      <c r="E381" s="8" t="s">
        <v>367</v>
      </c>
      <c r="F381" s="9">
        <f>IFERROR(__xludf.DUMMYFUNCTION("SPLIT(E381, "","")"),57.0)</f>
        <v>57</v>
      </c>
      <c r="G381" s="10">
        <f>IFERROR(__xludf.DUMMYFUNCTION("""COMPUTED_VALUE"""),71.0)</f>
        <v>71</v>
      </c>
      <c r="H381" s="10">
        <f>IFERROR(__xludf.DUMMYFUNCTION("""COMPUTED_VALUE"""),160.0)</f>
        <v>160</v>
      </c>
      <c r="I381" s="10">
        <f t="shared" si="1"/>
        <v>288</v>
      </c>
      <c r="J381" s="6">
        <f t="shared" si="2"/>
        <v>0.008681497558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7">
        <v>380.0</v>
      </c>
      <c r="B382" s="7">
        <v>32412.0</v>
      </c>
      <c r="C382" s="7">
        <v>2.0</v>
      </c>
      <c r="D382" s="7">
        <v>72.0</v>
      </c>
      <c r="E382" s="8" t="s">
        <v>368</v>
      </c>
      <c r="F382" s="9">
        <f>IFERROR(__xludf.DUMMYFUNCTION("SPLIT(E382, "","")"),167.0)</f>
        <v>167</v>
      </c>
      <c r="G382" s="10">
        <f>IFERROR(__xludf.DUMMYFUNCTION("""COMPUTED_VALUE"""),259.0)</f>
        <v>259</v>
      </c>
      <c r="H382" s="10"/>
      <c r="I382" s="10">
        <f t="shared" si="1"/>
        <v>426</v>
      </c>
      <c r="J382" s="6">
        <f t="shared" si="2"/>
        <v>0.01314328027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7">
        <v>381.0</v>
      </c>
      <c r="B383" s="7">
        <v>15710.0</v>
      </c>
      <c r="C383" s="7">
        <v>1.0</v>
      </c>
      <c r="D383" s="7">
        <v>44.0</v>
      </c>
      <c r="E383" s="11" t="s">
        <v>369</v>
      </c>
      <c r="F383" s="9">
        <f>IFERROR(__xludf.DUMMYFUNCTION("SPLIT(E383, "","")"),119.0)</f>
        <v>119</v>
      </c>
      <c r="G383" s="10"/>
      <c r="H383" s="10"/>
      <c r="I383" s="10">
        <f t="shared" si="1"/>
        <v>119</v>
      </c>
      <c r="J383" s="6">
        <f t="shared" si="2"/>
        <v>0.007574793125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7">
        <v>382.0</v>
      </c>
      <c r="B384" s="7">
        <v>4150.0</v>
      </c>
      <c r="C384" s="7">
        <v>1.0</v>
      </c>
      <c r="D384" s="7">
        <v>74.0</v>
      </c>
      <c r="E384" s="11" t="s">
        <v>370</v>
      </c>
      <c r="F384" s="9">
        <f>IFERROR(__xludf.DUMMYFUNCTION("SPLIT(E384, "","")"),64.0)</f>
        <v>64</v>
      </c>
      <c r="G384" s="10"/>
      <c r="H384" s="10"/>
      <c r="I384" s="10">
        <f t="shared" si="1"/>
        <v>64</v>
      </c>
      <c r="J384" s="6">
        <f t="shared" si="2"/>
        <v>0.01542168675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7">
        <v>383.0</v>
      </c>
      <c r="B385" s="7">
        <v>31432.0</v>
      </c>
      <c r="C385" s="7">
        <v>2.0</v>
      </c>
      <c r="D385" s="7">
        <v>39.0</v>
      </c>
      <c r="E385" s="8" t="s">
        <v>371</v>
      </c>
      <c r="F385" s="9">
        <f>IFERROR(__xludf.DUMMYFUNCTION("SPLIT(E385, "","")"),231.0)</f>
        <v>231</v>
      </c>
      <c r="G385" s="10">
        <f>IFERROR(__xludf.DUMMYFUNCTION("""COMPUTED_VALUE"""),125.0)</f>
        <v>125</v>
      </c>
      <c r="H385" s="10"/>
      <c r="I385" s="10">
        <f t="shared" si="1"/>
        <v>356</v>
      </c>
      <c r="J385" s="6">
        <f t="shared" si="2"/>
        <v>0.01132603716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7">
        <v>384.0</v>
      </c>
      <c r="B386" s="7">
        <v>21360.0</v>
      </c>
      <c r="C386" s="7">
        <v>3.0</v>
      </c>
      <c r="D386" s="7">
        <v>52.0</v>
      </c>
      <c r="E386" s="8" t="s">
        <v>372</v>
      </c>
      <c r="F386" s="9">
        <f>IFERROR(__xludf.DUMMYFUNCTION("SPLIT(E386, "","")"),28.0)</f>
        <v>28</v>
      </c>
      <c r="G386" s="10">
        <f>IFERROR(__xludf.DUMMYFUNCTION("""COMPUTED_VALUE"""),51.0)</f>
        <v>51</v>
      </c>
      <c r="H386" s="10">
        <f>IFERROR(__xludf.DUMMYFUNCTION("""COMPUTED_VALUE"""),194.0)</f>
        <v>194</v>
      </c>
      <c r="I386" s="10">
        <f t="shared" si="1"/>
        <v>273</v>
      </c>
      <c r="J386" s="6">
        <f t="shared" si="2"/>
        <v>0.01278089888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7">
        <v>385.0</v>
      </c>
      <c r="B387" s="7">
        <v>41975.0</v>
      </c>
      <c r="C387" s="7">
        <v>3.0</v>
      </c>
      <c r="D387" s="7">
        <v>36.0</v>
      </c>
      <c r="E387" s="8" t="s">
        <v>373</v>
      </c>
      <c r="F387" s="9">
        <f>IFERROR(__xludf.DUMMYFUNCTION("SPLIT(E387, "","")"),296.0)</f>
        <v>296</v>
      </c>
      <c r="G387" s="10">
        <f>IFERROR(__xludf.DUMMYFUNCTION("""COMPUTED_VALUE"""),247.0)</f>
        <v>247</v>
      </c>
      <c r="H387" s="10">
        <f>IFERROR(__xludf.DUMMYFUNCTION("""COMPUTED_VALUE"""),105.0)</f>
        <v>105</v>
      </c>
      <c r="I387" s="10">
        <f t="shared" si="1"/>
        <v>648</v>
      </c>
      <c r="J387" s="6">
        <f t="shared" si="2"/>
        <v>0.01543776057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7">
        <v>386.0</v>
      </c>
      <c r="B388" s="7">
        <v>35910.0</v>
      </c>
      <c r="C388" s="7">
        <v>3.0</v>
      </c>
      <c r="D388" s="7">
        <v>8.0</v>
      </c>
      <c r="E388" s="8" t="s">
        <v>374</v>
      </c>
      <c r="F388" s="9">
        <f>IFERROR(__xludf.DUMMYFUNCTION("SPLIT(E388, "","")"),84.0)</f>
        <v>84</v>
      </c>
      <c r="G388" s="10">
        <f>IFERROR(__xludf.DUMMYFUNCTION("""COMPUTED_VALUE"""),140.0)</f>
        <v>140</v>
      </c>
      <c r="H388" s="10">
        <f>IFERROR(__xludf.DUMMYFUNCTION("""COMPUTED_VALUE"""),70.0)</f>
        <v>70</v>
      </c>
      <c r="I388" s="10">
        <f t="shared" si="1"/>
        <v>294</v>
      </c>
      <c r="J388" s="6">
        <f t="shared" si="2"/>
        <v>0.008187134503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7">
        <v>387.0</v>
      </c>
      <c r="B389" s="7">
        <v>17398.0</v>
      </c>
      <c r="C389" s="7">
        <v>2.0</v>
      </c>
      <c r="D389" s="7">
        <v>48.0</v>
      </c>
      <c r="E389" s="8" t="s">
        <v>375</v>
      </c>
      <c r="F389" s="9">
        <f>IFERROR(__xludf.DUMMYFUNCTION("SPLIT(E389, "","")"),14.0)</f>
        <v>14</v>
      </c>
      <c r="G389" s="10">
        <f>IFERROR(__xludf.DUMMYFUNCTION("""COMPUTED_VALUE"""),125.0)</f>
        <v>125</v>
      </c>
      <c r="H389" s="10"/>
      <c r="I389" s="10">
        <f t="shared" si="1"/>
        <v>139</v>
      </c>
      <c r="J389" s="6">
        <f t="shared" si="2"/>
        <v>0.007989424072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7">
        <v>388.0</v>
      </c>
      <c r="B390" s="7">
        <v>47902.0</v>
      </c>
      <c r="C390" s="7">
        <v>3.0</v>
      </c>
      <c r="D390" s="7">
        <v>36.0</v>
      </c>
      <c r="E390" s="8" t="s">
        <v>376</v>
      </c>
      <c r="F390" s="9">
        <f>IFERROR(__xludf.DUMMYFUNCTION("SPLIT(E390, "","")"),213.0)</f>
        <v>213</v>
      </c>
      <c r="G390" s="10">
        <f>IFERROR(__xludf.DUMMYFUNCTION("""COMPUTED_VALUE"""),105.0)</f>
        <v>105</v>
      </c>
      <c r="H390" s="10">
        <f>IFERROR(__xludf.DUMMYFUNCTION("""COMPUTED_VALUE"""),242.0)</f>
        <v>242</v>
      </c>
      <c r="I390" s="10">
        <f t="shared" si="1"/>
        <v>560</v>
      </c>
      <c r="J390" s="6">
        <f t="shared" si="2"/>
        <v>0.01169053484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7">
        <v>389.0</v>
      </c>
      <c r="B391" s="7">
        <v>25921.0</v>
      </c>
      <c r="C391" s="7">
        <v>3.0</v>
      </c>
      <c r="D391" s="7">
        <v>8.0</v>
      </c>
      <c r="E391" s="8" t="s">
        <v>377</v>
      </c>
      <c r="F391" s="9">
        <f>IFERROR(__xludf.DUMMYFUNCTION("SPLIT(E391, "","")"),14.0)</f>
        <v>14</v>
      </c>
      <c r="G391" s="10">
        <f>IFERROR(__xludf.DUMMYFUNCTION("""COMPUTED_VALUE"""),119.0)</f>
        <v>119</v>
      </c>
      <c r="H391" s="10">
        <f>IFERROR(__xludf.DUMMYFUNCTION("""COMPUTED_VALUE"""),122.0)</f>
        <v>122</v>
      </c>
      <c r="I391" s="10">
        <f t="shared" si="1"/>
        <v>255</v>
      </c>
      <c r="J391" s="6">
        <f t="shared" si="2"/>
        <v>0.009837583427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7">
        <v>390.0</v>
      </c>
      <c r="B392" s="7">
        <v>16363.0</v>
      </c>
      <c r="C392" s="7">
        <v>2.0</v>
      </c>
      <c r="D392" s="7">
        <v>57.0</v>
      </c>
      <c r="E392" s="8" t="s">
        <v>378</v>
      </c>
      <c r="F392" s="9">
        <f>IFERROR(__xludf.DUMMYFUNCTION("SPLIT(E392, "","")"),233.0)</f>
        <v>233</v>
      </c>
      <c r="G392" s="10">
        <f>IFERROR(__xludf.DUMMYFUNCTION("""COMPUTED_VALUE"""),8.0)</f>
        <v>8</v>
      </c>
      <c r="H392" s="10"/>
      <c r="I392" s="10">
        <f t="shared" si="1"/>
        <v>241</v>
      </c>
      <c r="J392" s="6">
        <f t="shared" si="2"/>
        <v>0.01472835055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7">
        <v>391.0</v>
      </c>
      <c r="B393" s="7">
        <v>18855.0</v>
      </c>
      <c r="C393" s="7">
        <v>3.0</v>
      </c>
      <c r="D393" s="7">
        <v>6.0</v>
      </c>
      <c r="E393" s="8" t="s">
        <v>379</v>
      </c>
      <c r="F393" s="9">
        <f>IFERROR(__xludf.DUMMYFUNCTION("SPLIT(E393, "","")"),128.0)</f>
        <v>128</v>
      </c>
      <c r="G393" s="10">
        <f>IFERROR(__xludf.DUMMYFUNCTION("""COMPUTED_VALUE"""),75.0)</f>
        <v>75</v>
      </c>
      <c r="H393" s="10">
        <f>IFERROR(__xludf.DUMMYFUNCTION("""COMPUTED_VALUE"""),49.0)</f>
        <v>49</v>
      </c>
      <c r="I393" s="10">
        <f t="shared" si="1"/>
        <v>252</v>
      </c>
      <c r="J393" s="6">
        <f t="shared" si="2"/>
        <v>0.01336515513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7">
        <v>392.0</v>
      </c>
      <c r="B394" s="7">
        <v>18396.0</v>
      </c>
      <c r="C394" s="7">
        <v>3.0</v>
      </c>
      <c r="D394" s="7">
        <v>22.0</v>
      </c>
      <c r="E394" s="8" t="s">
        <v>380</v>
      </c>
      <c r="F394" s="9">
        <f>IFERROR(__xludf.DUMMYFUNCTION("SPLIT(E394, "","")"),125.0)</f>
        <v>125</v>
      </c>
      <c r="G394" s="10">
        <f>IFERROR(__xludf.DUMMYFUNCTION("""COMPUTED_VALUE"""),92.0)</f>
        <v>92</v>
      </c>
      <c r="H394" s="10">
        <f>IFERROR(__xludf.DUMMYFUNCTION("""COMPUTED_VALUE"""),13.0)</f>
        <v>13</v>
      </c>
      <c r="I394" s="10">
        <f t="shared" si="1"/>
        <v>230</v>
      </c>
      <c r="J394" s="6">
        <f t="shared" si="2"/>
        <v>0.01250271798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7">
        <v>393.0</v>
      </c>
      <c r="B395" s="7">
        <v>4085.0</v>
      </c>
      <c r="C395" s="7">
        <v>1.0</v>
      </c>
      <c r="D395" s="7">
        <v>48.0</v>
      </c>
      <c r="E395" s="11" t="s">
        <v>129</v>
      </c>
      <c r="F395" s="9">
        <f>IFERROR(__xludf.DUMMYFUNCTION("SPLIT(E395, "","")"),49.0)</f>
        <v>49</v>
      </c>
      <c r="G395" s="10"/>
      <c r="H395" s="10"/>
      <c r="I395" s="10">
        <f t="shared" si="1"/>
        <v>49</v>
      </c>
      <c r="J395" s="6">
        <f t="shared" si="2"/>
        <v>0.01199510404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7">
        <v>394.0</v>
      </c>
      <c r="B396" s="7">
        <v>13210.0</v>
      </c>
      <c r="C396" s="7">
        <v>1.0</v>
      </c>
      <c r="D396" s="7">
        <v>15.0</v>
      </c>
      <c r="E396" s="11" t="s">
        <v>381</v>
      </c>
      <c r="F396" s="9">
        <f>IFERROR(__xludf.DUMMYFUNCTION("SPLIT(E396, "","")"),116.0)</f>
        <v>116</v>
      </c>
      <c r="G396" s="10"/>
      <c r="H396" s="10"/>
      <c r="I396" s="10">
        <f t="shared" si="1"/>
        <v>116</v>
      </c>
      <c r="J396" s="6">
        <f t="shared" si="2"/>
        <v>0.008781226344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7">
        <v>395.0</v>
      </c>
      <c r="B397" s="7">
        <v>18690.0</v>
      </c>
      <c r="C397" s="7">
        <v>2.0</v>
      </c>
      <c r="D397" s="7">
        <v>16.0</v>
      </c>
      <c r="E397" s="8" t="s">
        <v>382</v>
      </c>
      <c r="F397" s="9">
        <f>IFERROR(__xludf.DUMMYFUNCTION("SPLIT(E397, "","")"),29.0)</f>
        <v>29</v>
      </c>
      <c r="G397" s="10">
        <f>IFERROR(__xludf.DUMMYFUNCTION("""COMPUTED_VALUE"""),249.0)</f>
        <v>249</v>
      </c>
      <c r="H397" s="10"/>
      <c r="I397" s="10">
        <f t="shared" si="1"/>
        <v>278</v>
      </c>
      <c r="J397" s="6">
        <f t="shared" si="2"/>
        <v>0.01487426431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7">
        <v>396.0</v>
      </c>
      <c r="B398" s="7">
        <v>29502.0</v>
      </c>
      <c r="C398" s="7">
        <v>2.0</v>
      </c>
      <c r="D398" s="7">
        <v>65.0</v>
      </c>
      <c r="E398" s="8" t="s">
        <v>383</v>
      </c>
      <c r="F398" s="9">
        <f>IFERROR(__xludf.DUMMYFUNCTION("SPLIT(E398, "","")"),147.0)</f>
        <v>147</v>
      </c>
      <c r="G398" s="10">
        <f>IFERROR(__xludf.DUMMYFUNCTION("""COMPUTED_VALUE"""),231.0)</f>
        <v>231</v>
      </c>
      <c r="H398" s="10"/>
      <c r="I398" s="10">
        <f t="shared" si="1"/>
        <v>378</v>
      </c>
      <c r="J398" s="6">
        <f t="shared" si="2"/>
        <v>0.01281269067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7">
        <v>397.0</v>
      </c>
      <c r="B399" s="7">
        <v>27108.0</v>
      </c>
      <c r="C399" s="7">
        <v>2.0</v>
      </c>
      <c r="D399" s="7">
        <v>30.0</v>
      </c>
      <c r="E399" s="8" t="s">
        <v>384</v>
      </c>
      <c r="F399" s="9">
        <f>IFERROR(__xludf.DUMMYFUNCTION("SPLIT(E399, "","")"),132.0)</f>
        <v>132</v>
      </c>
      <c r="G399" s="10">
        <f>IFERROR(__xludf.DUMMYFUNCTION("""COMPUTED_VALUE"""),207.0)</f>
        <v>207</v>
      </c>
      <c r="H399" s="10"/>
      <c r="I399" s="10">
        <f t="shared" si="1"/>
        <v>339</v>
      </c>
      <c r="J399" s="6">
        <f t="shared" si="2"/>
        <v>0.01250553342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7">
        <v>398.0</v>
      </c>
      <c r="B400" s="7">
        <v>20973.0</v>
      </c>
      <c r="C400" s="7">
        <v>3.0</v>
      </c>
      <c r="D400" s="7">
        <v>4.0</v>
      </c>
      <c r="E400" s="8" t="s">
        <v>385</v>
      </c>
      <c r="F400" s="9">
        <f>IFERROR(__xludf.DUMMYFUNCTION("SPLIT(E400, "","")"),175.0)</f>
        <v>175</v>
      </c>
      <c r="G400" s="10">
        <f>IFERROR(__xludf.DUMMYFUNCTION("""COMPUTED_VALUE"""),157.0)</f>
        <v>157</v>
      </c>
      <c r="H400" s="10">
        <f>IFERROR(__xludf.DUMMYFUNCTION("""COMPUTED_VALUE"""),19.0)</f>
        <v>19</v>
      </c>
      <c r="I400" s="10">
        <f t="shared" si="1"/>
        <v>351</v>
      </c>
      <c r="J400" s="6">
        <f t="shared" si="2"/>
        <v>0.01673580318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7">
        <v>399.0</v>
      </c>
      <c r="B401" s="7">
        <v>7034.0</v>
      </c>
      <c r="C401" s="7">
        <v>2.0</v>
      </c>
      <c r="D401" s="7">
        <v>42.0</v>
      </c>
      <c r="E401" s="8" t="s">
        <v>386</v>
      </c>
      <c r="F401" s="9">
        <f>IFERROR(__xludf.DUMMYFUNCTION("SPLIT(E401, "","")"),56.0)</f>
        <v>56</v>
      </c>
      <c r="G401" s="10">
        <f>IFERROR(__xludf.DUMMYFUNCTION("""COMPUTED_VALUE"""),25.0)</f>
        <v>25</v>
      </c>
      <c r="H401" s="10"/>
      <c r="I401" s="10">
        <f t="shared" si="1"/>
        <v>81</v>
      </c>
      <c r="J401" s="6">
        <f t="shared" si="2"/>
        <v>0.01151549616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7">
        <v>400.0</v>
      </c>
      <c r="B402" s="7">
        <v>4146.0</v>
      </c>
      <c r="C402" s="7">
        <v>2.0</v>
      </c>
      <c r="D402" s="7">
        <v>20.0</v>
      </c>
      <c r="E402" s="8" t="s">
        <v>387</v>
      </c>
      <c r="F402" s="9">
        <f>IFERROR(__xludf.DUMMYFUNCTION("SPLIT(E402, "","")"),12.0)</f>
        <v>12</v>
      </c>
      <c r="G402" s="10">
        <f>IFERROR(__xludf.DUMMYFUNCTION("""COMPUTED_VALUE"""),53.0)</f>
        <v>53</v>
      </c>
      <c r="H402" s="10"/>
      <c r="I402" s="10">
        <f t="shared" si="1"/>
        <v>65</v>
      </c>
      <c r="J402" s="6">
        <f t="shared" si="2"/>
        <v>0.0156777617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7">
        <v>401.0</v>
      </c>
      <c r="B403" s="7">
        <v>25735.0</v>
      </c>
      <c r="C403" s="7">
        <v>3.0</v>
      </c>
      <c r="D403" s="7">
        <v>68.0</v>
      </c>
      <c r="E403" s="8" t="s">
        <v>388</v>
      </c>
      <c r="F403" s="9">
        <f>IFERROR(__xludf.DUMMYFUNCTION("SPLIT(E403, "","")"),28.0)</f>
        <v>28</v>
      </c>
      <c r="G403" s="10">
        <f>IFERROR(__xludf.DUMMYFUNCTION("""COMPUTED_VALUE"""),94.0)</f>
        <v>94</v>
      </c>
      <c r="H403" s="10">
        <f>IFERROR(__xludf.DUMMYFUNCTION("""COMPUTED_VALUE"""),204.0)</f>
        <v>204</v>
      </c>
      <c r="I403" s="10">
        <f t="shared" si="1"/>
        <v>326</v>
      </c>
      <c r="J403" s="6">
        <f t="shared" si="2"/>
        <v>0.01266757334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7">
        <v>402.0</v>
      </c>
      <c r="B404" s="7">
        <v>15668.0</v>
      </c>
      <c r="C404" s="7">
        <v>1.0</v>
      </c>
      <c r="D404" s="7">
        <v>69.0</v>
      </c>
      <c r="E404" s="11" t="s">
        <v>389</v>
      </c>
      <c r="F404" s="9">
        <f>IFERROR(__xludf.DUMMYFUNCTION("SPLIT(E404, "","")"),201.0)</f>
        <v>201</v>
      </c>
      <c r="G404" s="10"/>
      <c r="H404" s="10"/>
      <c r="I404" s="10">
        <f t="shared" si="1"/>
        <v>201</v>
      </c>
      <c r="J404" s="6">
        <f t="shared" si="2"/>
        <v>0.01282869543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7">
        <v>403.0</v>
      </c>
      <c r="B405" s="7">
        <v>31693.0</v>
      </c>
      <c r="C405" s="7">
        <v>2.0</v>
      </c>
      <c r="D405" s="7">
        <v>70.0</v>
      </c>
      <c r="E405" s="8" t="s">
        <v>390</v>
      </c>
      <c r="F405" s="9">
        <f>IFERROR(__xludf.DUMMYFUNCTION("SPLIT(E405, "","")"),177.0)</f>
        <v>177</v>
      </c>
      <c r="G405" s="10">
        <f>IFERROR(__xludf.DUMMYFUNCTION("""COMPUTED_VALUE"""),309.0)</f>
        <v>309</v>
      </c>
      <c r="H405" s="10"/>
      <c r="I405" s="10">
        <f t="shared" si="1"/>
        <v>486</v>
      </c>
      <c r="J405" s="6">
        <f t="shared" si="2"/>
        <v>0.01533461648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7">
        <v>404.0</v>
      </c>
      <c r="B406" s="7">
        <v>24192.0</v>
      </c>
      <c r="C406" s="7">
        <v>2.0</v>
      </c>
      <c r="D406" s="7">
        <v>39.0</v>
      </c>
      <c r="E406" s="8" t="s">
        <v>391</v>
      </c>
      <c r="F406" s="9">
        <f>IFERROR(__xludf.DUMMYFUNCTION("SPLIT(E406, "","")"),139.0)</f>
        <v>139</v>
      </c>
      <c r="G406" s="10">
        <f>IFERROR(__xludf.DUMMYFUNCTION("""COMPUTED_VALUE"""),135.0)</f>
        <v>135</v>
      </c>
      <c r="H406" s="10"/>
      <c r="I406" s="10">
        <f t="shared" si="1"/>
        <v>274</v>
      </c>
      <c r="J406" s="6">
        <f t="shared" si="2"/>
        <v>0.0113260582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7">
        <v>405.0</v>
      </c>
      <c r="B407" s="7">
        <v>4247.0</v>
      </c>
      <c r="C407" s="7">
        <v>2.0</v>
      </c>
      <c r="D407" s="7">
        <v>63.0</v>
      </c>
      <c r="E407" s="8" t="s">
        <v>392</v>
      </c>
      <c r="F407" s="9">
        <f>IFERROR(__xludf.DUMMYFUNCTION("SPLIT(E407, "","")"),10.0)</f>
        <v>10</v>
      </c>
      <c r="G407" s="10">
        <f>IFERROR(__xludf.DUMMYFUNCTION("""COMPUTED_VALUE"""),55.0)</f>
        <v>55</v>
      </c>
      <c r="H407" s="10"/>
      <c r="I407" s="10">
        <f t="shared" si="1"/>
        <v>65</v>
      </c>
      <c r="J407" s="6">
        <f t="shared" si="2"/>
        <v>0.01530492112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7">
        <v>406.0</v>
      </c>
      <c r="B408" s="7">
        <v>16526.0</v>
      </c>
      <c r="C408" s="7">
        <v>2.0</v>
      </c>
      <c r="D408" s="7">
        <v>72.0</v>
      </c>
      <c r="E408" s="8" t="s">
        <v>393</v>
      </c>
      <c r="F408" s="9">
        <f>IFERROR(__xludf.DUMMYFUNCTION("SPLIT(E408, "","")"),19.0)</f>
        <v>19</v>
      </c>
      <c r="G408" s="10">
        <f>IFERROR(__xludf.DUMMYFUNCTION("""COMPUTED_VALUE"""),234.0)</f>
        <v>234</v>
      </c>
      <c r="H408" s="10"/>
      <c r="I408" s="10">
        <f t="shared" si="1"/>
        <v>253</v>
      </c>
      <c r="J408" s="6">
        <f t="shared" si="2"/>
        <v>0.01530920973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7">
        <v>407.0</v>
      </c>
      <c r="B409" s="7">
        <v>9446.0</v>
      </c>
      <c r="C409" s="7">
        <v>3.0</v>
      </c>
      <c r="D409" s="7">
        <v>66.0</v>
      </c>
      <c r="E409" s="11" t="s">
        <v>394</v>
      </c>
      <c r="F409" s="9">
        <f>IFERROR(__xludf.DUMMYFUNCTION("SPLIT(E409, "","")"),13.0)</f>
        <v>13</v>
      </c>
      <c r="G409" s="10">
        <f>IFERROR(__xludf.DUMMYFUNCTION("""COMPUTED_VALUE"""),12.0)</f>
        <v>12</v>
      </c>
      <c r="H409" s="10">
        <f>IFERROR(__xludf.DUMMYFUNCTION("""COMPUTED_VALUE"""),40.0)</f>
        <v>40</v>
      </c>
      <c r="I409" s="10">
        <f t="shared" si="1"/>
        <v>65</v>
      </c>
      <c r="J409" s="6">
        <f t="shared" si="2"/>
        <v>0.006881219564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7">
        <v>408.0</v>
      </c>
      <c r="B410" s="7">
        <v>19665.0</v>
      </c>
      <c r="C410" s="7">
        <v>3.0</v>
      </c>
      <c r="D410" s="7">
        <v>12.0</v>
      </c>
      <c r="E410" s="8" t="s">
        <v>395</v>
      </c>
      <c r="F410" s="9">
        <f>IFERROR(__xludf.DUMMYFUNCTION("SPLIT(E410, "","")"),105.0)</f>
        <v>105</v>
      </c>
      <c r="G410" s="10">
        <f>IFERROR(__xludf.DUMMYFUNCTION("""COMPUTED_VALUE"""),138.0)</f>
        <v>138</v>
      </c>
      <c r="H410" s="10">
        <f>IFERROR(__xludf.DUMMYFUNCTION("""COMPUTED_VALUE"""),40.0)</f>
        <v>40</v>
      </c>
      <c r="I410" s="10">
        <f t="shared" si="1"/>
        <v>283</v>
      </c>
      <c r="J410" s="6">
        <f t="shared" si="2"/>
        <v>0.01439105009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7">
        <v>409.0</v>
      </c>
      <c r="B411" s="7">
        <v>15881.0</v>
      </c>
      <c r="C411" s="7">
        <v>1.0</v>
      </c>
      <c r="D411" s="7">
        <v>45.0</v>
      </c>
      <c r="E411" s="11" t="s">
        <v>171</v>
      </c>
      <c r="F411" s="9">
        <f>IFERROR(__xludf.DUMMYFUNCTION("SPLIT(E411, "","")"),81.0)</f>
        <v>81</v>
      </c>
      <c r="G411" s="10"/>
      <c r="H411" s="10"/>
      <c r="I411" s="10">
        <f t="shared" si="1"/>
        <v>81</v>
      </c>
      <c r="J411" s="6">
        <f t="shared" si="2"/>
        <v>0.005100434481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7">
        <v>410.0</v>
      </c>
      <c r="B412" s="7">
        <v>6980.0</v>
      </c>
      <c r="C412" s="7">
        <v>2.0</v>
      </c>
      <c r="D412" s="7">
        <v>56.0</v>
      </c>
      <c r="E412" s="8" t="s">
        <v>396</v>
      </c>
      <c r="F412" s="9">
        <f>IFERROR(__xludf.DUMMYFUNCTION("SPLIT(E412, "","")"),24.0)</f>
        <v>24</v>
      </c>
      <c r="G412" s="10">
        <f>IFERROR(__xludf.DUMMYFUNCTION("""COMPUTED_VALUE"""),82.0)</f>
        <v>82</v>
      </c>
      <c r="H412" s="10"/>
      <c r="I412" s="10">
        <f t="shared" si="1"/>
        <v>106</v>
      </c>
      <c r="J412" s="6">
        <f t="shared" si="2"/>
        <v>0.01518624642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7">
        <v>411.0</v>
      </c>
      <c r="B413" s="7">
        <v>7919.0</v>
      </c>
      <c r="C413" s="7">
        <v>1.0</v>
      </c>
      <c r="D413" s="7">
        <v>30.0</v>
      </c>
      <c r="E413" s="11" t="s">
        <v>111</v>
      </c>
      <c r="F413" s="9">
        <f>IFERROR(__xludf.DUMMYFUNCTION("SPLIT(E413, "","")"),136.0)</f>
        <v>136</v>
      </c>
      <c r="G413" s="10"/>
      <c r="H413" s="10"/>
      <c r="I413" s="10">
        <f t="shared" si="1"/>
        <v>136</v>
      </c>
      <c r="J413" s="6">
        <f t="shared" si="2"/>
        <v>0.01717388559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7">
        <v>412.0</v>
      </c>
      <c r="B414" s="7">
        <v>22923.0</v>
      </c>
      <c r="C414" s="7">
        <v>3.0</v>
      </c>
      <c r="D414" s="7">
        <v>42.0</v>
      </c>
      <c r="E414" s="8" t="s">
        <v>397</v>
      </c>
      <c r="F414" s="9">
        <f>IFERROR(__xludf.DUMMYFUNCTION("SPLIT(E414, "","")"),41.0)</f>
        <v>41</v>
      </c>
      <c r="G414" s="10">
        <f>IFERROR(__xludf.DUMMYFUNCTION("""COMPUTED_VALUE"""),167.0)</f>
        <v>167</v>
      </c>
      <c r="H414" s="10">
        <f>IFERROR(__xludf.DUMMYFUNCTION("""COMPUTED_VALUE"""),18.0)</f>
        <v>18</v>
      </c>
      <c r="I414" s="10">
        <f t="shared" si="1"/>
        <v>226</v>
      </c>
      <c r="J414" s="6">
        <f t="shared" si="2"/>
        <v>0.009859093487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7">
        <v>413.0</v>
      </c>
      <c r="B415" s="7">
        <v>15266.0</v>
      </c>
      <c r="C415" s="7">
        <v>3.0</v>
      </c>
      <c r="D415" s="7">
        <v>56.0</v>
      </c>
      <c r="E415" s="8" t="s">
        <v>398</v>
      </c>
      <c r="F415" s="9">
        <f>IFERROR(__xludf.DUMMYFUNCTION("SPLIT(E415, "","")"),139.0)</f>
        <v>139</v>
      </c>
      <c r="G415" s="10">
        <f>IFERROR(__xludf.DUMMYFUNCTION("""COMPUTED_VALUE"""),10.0)</f>
        <v>10</v>
      </c>
      <c r="H415" s="10">
        <f>IFERROR(__xludf.DUMMYFUNCTION("""COMPUTED_VALUE"""),90.0)</f>
        <v>90</v>
      </c>
      <c r="I415" s="10">
        <f t="shared" si="1"/>
        <v>239</v>
      </c>
      <c r="J415" s="6">
        <f t="shared" si="2"/>
        <v>0.01565570549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7">
        <v>414.0</v>
      </c>
      <c r="B416" s="7">
        <v>20656.0</v>
      </c>
      <c r="C416" s="7">
        <v>3.0</v>
      </c>
      <c r="D416" s="7">
        <v>48.0</v>
      </c>
      <c r="E416" s="8" t="s">
        <v>399</v>
      </c>
      <c r="F416" s="9">
        <f>IFERROR(__xludf.DUMMYFUNCTION("SPLIT(E416, "","")"),14.0)</f>
        <v>14</v>
      </c>
      <c r="G416" s="10">
        <f>IFERROR(__xludf.DUMMYFUNCTION("""COMPUTED_VALUE"""),53.0)</f>
        <v>53</v>
      </c>
      <c r="H416" s="10">
        <f>IFERROR(__xludf.DUMMYFUNCTION("""COMPUTED_VALUE"""),126.0)</f>
        <v>126</v>
      </c>
      <c r="I416" s="10">
        <f t="shared" si="1"/>
        <v>193</v>
      </c>
      <c r="J416" s="6">
        <f t="shared" si="2"/>
        <v>0.009343532146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7">
        <v>415.0</v>
      </c>
      <c r="B417" s="7">
        <v>16263.0</v>
      </c>
      <c r="C417" s="7">
        <v>1.0</v>
      </c>
      <c r="D417" s="7">
        <v>24.0</v>
      </c>
      <c r="E417" s="11" t="s">
        <v>400</v>
      </c>
      <c r="F417" s="9">
        <f>IFERROR(__xludf.DUMMYFUNCTION("SPLIT(E417, "","")"),131.0)</f>
        <v>131</v>
      </c>
      <c r="G417" s="10"/>
      <c r="H417" s="10"/>
      <c r="I417" s="10">
        <f t="shared" si="1"/>
        <v>131</v>
      </c>
      <c r="J417" s="6">
        <f t="shared" si="2"/>
        <v>0.008055094386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7">
        <v>416.0</v>
      </c>
      <c r="B418" s="7">
        <v>20077.0</v>
      </c>
      <c r="C418" s="7">
        <v>2.0</v>
      </c>
      <c r="D418" s="7">
        <v>16.0</v>
      </c>
      <c r="E418" s="8" t="s">
        <v>401</v>
      </c>
      <c r="F418" s="9">
        <f>IFERROR(__xludf.DUMMYFUNCTION("SPLIT(E418, "","")"),65.0)</f>
        <v>65</v>
      </c>
      <c r="G418" s="10">
        <f>IFERROR(__xludf.DUMMYFUNCTION("""COMPUTED_VALUE"""),145.0)</f>
        <v>145</v>
      </c>
      <c r="H418" s="10"/>
      <c r="I418" s="10">
        <f t="shared" si="1"/>
        <v>210</v>
      </c>
      <c r="J418" s="6">
        <f t="shared" si="2"/>
        <v>0.01045973004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7">
        <v>417.0</v>
      </c>
      <c r="B419" s="7">
        <v>15783.0</v>
      </c>
      <c r="C419" s="7">
        <v>3.0</v>
      </c>
      <c r="D419" s="7">
        <v>30.0</v>
      </c>
      <c r="E419" s="8" t="s">
        <v>402</v>
      </c>
      <c r="F419" s="9">
        <f>IFERROR(__xludf.DUMMYFUNCTION("SPLIT(E419, "","")"),68.0)</f>
        <v>68</v>
      </c>
      <c r="G419" s="10">
        <f>IFERROR(__xludf.DUMMYFUNCTION("""COMPUTED_VALUE"""),18.0)</f>
        <v>18</v>
      </c>
      <c r="H419" s="10">
        <f>IFERROR(__xludf.DUMMYFUNCTION("""COMPUTED_VALUE"""),217.0)</f>
        <v>217</v>
      </c>
      <c r="I419" s="10">
        <f t="shared" si="1"/>
        <v>303</v>
      </c>
      <c r="J419" s="6">
        <f t="shared" si="2"/>
        <v>0.01919787113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7">
        <v>418.0</v>
      </c>
      <c r="B420" s="7">
        <v>14853.0</v>
      </c>
      <c r="C420" s="7">
        <v>3.0</v>
      </c>
      <c r="D420" s="7">
        <v>42.0</v>
      </c>
      <c r="E420" s="8" t="s">
        <v>403</v>
      </c>
      <c r="F420" s="9">
        <f>IFERROR(__xludf.DUMMYFUNCTION("SPLIT(E420, "","")"),194.0)</f>
        <v>194</v>
      </c>
      <c r="G420" s="10">
        <f>IFERROR(__xludf.DUMMYFUNCTION("""COMPUTED_VALUE"""),48.0)</f>
        <v>48</v>
      </c>
      <c r="H420" s="10">
        <f>IFERROR(__xludf.DUMMYFUNCTION("""COMPUTED_VALUE"""),22.0)</f>
        <v>22</v>
      </c>
      <c r="I420" s="10">
        <f t="shared" si="1"/>
        <v>264</v>
      </c>
      <c r="J420" s="6">
        <f t="shared" si="2"/>
        <v>0.01777418703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7">
        <v>419.0</v>
      </c>
      <c r="B421" s="7">
        <v>5264.0</v>
      </c>
      <c r="C421" s="7">
        <v>2.0</v>
      </c>
      <c r="D421" s="7">
        <v>30.0</v>
      </c>
      <c r="E421" s="11" t="s">
        <v>404</v>
      </c>
      <c r="F421" s="9">
        <f>IFERROR(__xludf.DUMMYFUNCTION("SPLIT(E421, "","")"),23.0)</f>
        <v>23</v>
      </c>
      <c r="G421" s="10">
        <f>IFERROR(__xludf.DUMMYFUNCTION("""COMPUTED_VALUE"""),9.0)</f>
        <v>9</v>
      </c>
      <c r="H421" s="10"/>
      <c r="I421" s="10">
        <f t="shared" si="1"/>
        <v>32</v>
      </c>
      <c r="J421" s="6">
        <f t="shared" si="2"/>
        <v>0.006079027356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7">
        <v>420.0</v>
      </c>
      <c r="B422" s="7">
        <v>31748.0</v>
      </c>
      <c r="C422" s="7">
        <v>3.0</v>
      </c>
      <c r="D422" s="7">
        <v>70.0</v>
      </c>
      <c r="E422" s="8" t="s">
        <v>405</v>
      </c>
      <c r="F422" s="9">
        <f>IFERROR(__xludf.DUMMYFUNCTION("SPLIT(E422, "","")"),249.0)</f>
        <v>249</v>
      </c>
      <c r="G422" s="10">
        <f>IFERROR(__xludf.DUMMYFUNCTION("""COMPUTED_VALUE"""),39.0)</f>
        <v>39</v>
      </c>
      <c r="H422" s="10">
        <f>IFERROR(__xludf.DUMMYFUNCTION("""COMPUTED_VALUE"""),85.0)</f>
        <v>85</v>
      </c>
      <c r="I422" s="10">
        <f t="shared" si="1"/>
        <v>373</v>
      </c>
      <c r="J422" s="6">
        <f t="shared" si="2"/>
        <v>0.01174877158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7">
        <v>421.0</v>
      </c>
      <c r="B423" s="7">
        <v>4490.0</v>
      </c>
      <c r="C423" s="7">
        <v>1.0</v>
      </c>
      <c r="D423" s="7">
        <v>20.0</v>
      </c>
      <c r="E423" s="11" t="s">
        <v>171</v>
      </c>
      <c r="F423" s="9">
        <f>IFERROR(__xludf.DUMMYFUNCTION("SPLIT(E423, "","")"),81.0)</f>
        <v>81</v>
      </c>
      <c r="G423" s="10"/>
      <c r="H423" s="10"/>
      <c r="I423" s="10">
        <f t="shared" si="1"/>
        <v>81</v>
      </c>
      <c r="J423" s="6">
        <f t="shared" si="2"/>
        <v>0.01804008909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7">
        <v>422.0</v>
      </c>
      <c r="B424" s="7">
        <v>25318.0</v>
      </c>
      <c r="C424" s="7">
        <v>2.0</v>
      </c>
      <c r="D424" s="7">
        <v>44.0</v>
      </c>
      <c r="E424" s="8" t="s">
        <v>406</v>
      </c>
      <c r="F424" s="9">
        <f>IFERROR(__xludf.DUMMYFUNCTION("SPLIT(E424, "","")"),95.0)</f>
        <v>95</v>
      </c>
      <c r="G424" s="10">
        <f>IFERROR(__xludf.DUMMYFUNCTION("""COMPUTED_VALUE"""),297.0)</f>
        <v>297</v>
      </c>
      <c r="H424" s="10"/>
      <c r="I424" s="10">
        <f t="shared" si="1"/>
        <v>392</v>
      </c>
      <c r="J424" s="6">
        <f t="shared" si="2"/>
        <v>0.01548305553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7">
        <v>423.0</v>
      </c>
      <c r="B425" s="7">
        <v>4344.0</v>
      </c>
      <c r="C425" s="7">
        <v>1.0</v>
      </c>
      <c r="D425" s="7">
        <v>42.0</v>
      </c>
      <c r="E425" s="11" t="s">
        <v>345</v>
      </c>
      <c r="F425" s="9">
        <f>IFERROR(__xludf.DUMMYFUNCTION("SPLIT(E425, "","")"),48.0)</f>
        <v>48</v>
      </c>
      <c r="G425" s="10"/>
      <c r="H425" s="10"/>
      <c r="I425" s="10">
        <f t="shared" si="1"/>
        <v>48</v>
      </c>
      <c r="J425" s="6">
        <f t="shared" si="2"/>
        <v>0.01104972376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7">
        <v>424.0</v>
      </c>
      <c r="B426" s="7">
        <v>4411.0</v>
      </c>
      <c r="C426" s="7">
        <v>1.0</v>
      </c>
      <c r="D426" s="7">
        <v>60.0</v>
      </c>
      <c r="E426" s="11" t="s">
        <v>176</v>
      </c>
      <c r="F426" s="9">
        <f>IFERROR(__xludf.DUMMYFUNCTION("SPLIT(E426, "","")"),83.0)</f>
        <v>83</v>
      </c>
      <c r="G426" s="10"/>
      <c r="H426" s="10"/>
      <c r="I426" s="10">
        <f t="shared" si="1"/>
        <v>83</v>
      </c>
      <c r="J426" s="6">
        <f t="shared" si="2"/>
        <v>0.01881659488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7">
        <v>425.0</v>
      </c>
      <c r="B427" s="7">
        <v>13300.0</v>
      </c>
      <c r="C427" s="7">
        <v>2.0</v>
      </c>
      <c r="D427" s="7">
        <v>36.0</v>
      </c>
      <c r="E427" s="8" t="s">
        <v>407</v>
      </c>
      <c r="F427" s="9">
        <f>IFERROR(__xludf.DUMMYFUNCTION("SPLIT(E427, "","")"),107.0)</f>
        <v>107</v>
      </c>
      <c r="G427" s="10">
        <f>IFERROR(__xludf.DUMMYFUNCTION("""COMPUTED_VALUE"""),99.0)</f>
        <v>99</v>
      </c>
      <c r="H427" s="10"/>
      <c r="I427" s="10">
        <f t="shared" si="1"/>
        <v>206</v>
      </c>
      <c r="J427" s="6">
        <f t="shared" si="2"/>
        <v>0.0154887218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7">
        <v>426.0</v>
      </c>
      <c r="B428" s="7">
        <v>19960.0</v>
      </c>
      <c r="C428" s="7">
        <v>2.0</v>
      </c>
      <c r="D428" s="7">
        <v>68.0</v>
      </c>
      <c r="E428" s="8" t="s">
        <v>408</v>
      </c>
      <c r="F428" s="9">
        <f>IFERROR(__xludf.DUMMYFUNCTION("SPLIT(E428, "","")"),142.0)</f>
        <v>142</v>
      </c>
      <c r="G428" s="10">
        <f>IFERROR(__xludf.DUMMYFUNCTION("""COMPUTED_VALUE"""),88.0)</f>
        <v>88</v>
      </c>
      <c r="H428" s="10"/>
      <c r="I428" s="10">
        <f t="shared" si="1"/>
        <v>230</v>
      </c>
      <c r="J428" s="6">
        <f t="shared" si="2"/>
        <v>0.01152304609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7">
        <v>427.0</v>
      </c>
      <c r="B429" s="7">
        <v>23081.0</v>
      </c>
      <c r="C429" s="7">
        <v>3.0</v>
      </c>
      <c r="D429" s="7">
        <v>48.0</v>
      </c>
      <c r="E429" s="8" t="s">
        <v>409</v>
      </c>
      <c r="F429" s="9">
        <f>IFERROR(__xludf.DUMMYFUNCTION("SPLIT(E429, "","")"),178.0)</f>
        <v>178</v>
      </c>
      <c r="G429" s="10">
        <f>IFERROR(__xludf.DUMMYFUNCTION("""COMPUTED_VALUE"""),146.0)</f>
        <v>146</v>
      </c>
      <c r="H429" s="10">
        <f>IFERROR(__xludf.DUMMYFUNCTION("""COMPUTED_VALUE"""),47.0)</f>
        <v>47</v>
      </c>
      <c r="I429" s="10">
        <f t="shared" si="1"/>
        <v>371</v>
      </c>
      <c r="J429" s="6">
        <f t="shared" si="2"/>
        <v>0.01607382696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7">
        <v>428.0</v>
      </c>
      <c r="B430" s="7">
        <v>27739.0</v>
      </c>
      <c r="C430" s="7">
        <v>3.0</v>
      </c>
      <c r="D430" s="7">
        <v>68.0</v>
      </c>
      <c r="E430" s="8" t="s">
        <v>410</v>
      </c>
      <c r="F430" s="9">
        <f>IFERROR(__xludf.DUMMYFUNCTION("SPLIT(E430, "","")"),11.0)</f>
        <v>11</v>
      </c>
      <c r="G430" s="10">
        <f>IFERROR(__xludf.DUMMYFUNCTION("""COMPUTED_VALUE"""),275.0)</f>
        <v>275</v>
      </c>
      <c r="H430" s="10">
        <f>IFERROR(__xludf.DUMMYFUNCTION("""COMPUTED_VALUE"""),140.0)</f>
        <v>140</v>
      </c>
      <c r="I430" s="10">
        <f t="shared" si="1"/>
        <v>426</v>
      </c>
      <c r="J430" s="6">
        <f t="shared" si="2"/>
        <v>0.01535743898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7">
        <v>429.0</v>
      </c>
      <c r="B431" s="7">
        <v>13534.0</v>
      </c>
      <c r="C431" s="7">
        <v>1.0</v>
      </c>
      <c r="D431" s="7">
        <v>72.0</v>
      </c>
      <c r="E431" s="11" t="s">
        <v>330</v>
      </c>
      <c r="F431" s="9">
        <f>IFERROR(__xludf.DUMMYFUNCTION("SPLIT(E431, "","")"),68.0)</f>
        <v>68</v>
      </c>
      <c r="G431" s="10"/>
      <c r="H431" s="10"/>
      <c r="I431" s="10">
        <f t="shared" si="1"/>
        <v>68</v>
      </c>
      <c r="J431" s="6">
        <f t="shared" si="2"/>
        <v>0.005024383035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7">
        <v>430.0</v>
      </c>
      <c r="B432" s="7">
        <v>4040.0</v>
      </c>
      <c r="C432" s="7">
        <v>1.0</v>
      </c>
      <c r="D432" s="7">
        <v>32.0</v>
      </c>
      <c r="E432" s="11" t="s">
        <v>411</v>
      </c>
      <c r="F432" s="9">
        <f>IFERROR(__xludf.DUMMYFUNCTION("SPLIT(E432, "","")"),70.0)</f>
        <v>70</v>
      </c>
      <c r="G432" s="10"/>
      <c r="H432" s="10"/>
      <c r="I432" s="10">
        <f t="shared" si="1"/>
        <v>70</v>
      </c>
      <c r="J432" s="6">
        <f t="shared" si="2"/>
        <v>0.01732673267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7">
        <v>431.0</v>
      </c>
      <c r="B433" s="7">
        <v>3779.0</v>
      </c>
      <c r="C433" s="7">
        <v>1.0</v>
      </c>
      <c r="D433" s="7">
        <v>40.0</v>
      </c>
      <c r="E433" s="11" t="s">
        <v>412</v>
      </c>
      <c r="F433" s="9">
        <f>IFERROR(__xludf.DUMMYFUNCTION("SPLIT(E433, "","")"),37.0)</f>
        <v>37</v>
      </c>
      <c r="G433" s="10"/>
      <c r="H433" s="10"/>
      <c r="I433" s="10">
        <f t="shared" si="1"/>
        <v>37</v>
      </c>
      <c r="J433" s="6">
        <f t="shared" si="2"/>
        <v>0.009790949987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7">
        <v>432.0</v>
      </c>
      <c r="B434" s="7">
        <v>23571.0</v>
      </c>
      <c r="C434" s="7">
        <v>2.0</v>
      </c>
      <c r="D434" s="7">
        <v>42.0</v>
      </c>
      <c r="E434" s="8" t="s">
        <v>413</v>
      </c>
      <c r="F434" s="9">
        <f>IFERROR(__xludf.DUMMYFUNCTION("SPLIT(E434, "","")"),248.0)</f>
        <v>248</v>
      </c>
      <c r="G434" s="10">
        <f>IFERROR(__xludf.DUMMYFUNCTION("""COMPUTED_VALUE"""),116.0)</f>
        <v>116</v>
      </c>
      <c r="H434" s="10"/>
      <c r="I434" s="10">
        <f t="shared" si="1"/>
        <v>364</v>
      </c>
      <c r="J434" s="6">
        <f t="shared" si="2"/>
        <v>0.01544270502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7">
        <v>433.0</v>
      </c>
      <c r="B435" s="7">
        <v>36945.0</v>
      </c>
      <c r="C435" s="7">
        <v>3.0</v>
      </c>
      <c r="D435" s="7">
        <v>6.0</v>
      </c>
      <c r="E435" s="8" t="s">
        <v>414</v>
      </c>
      <c r="F435" s="9">
        <f>IFERROR(__xludf.DUMMYFUNCTION("SPLIT(E435, "","")"),161.0)</f>
        <v>161</v>
      </c>
      <c r="G435" s="10">
        <f>IFERROR(__xludf.DUMMYFUNCTION("""COMPUTED_VALUE"""),211.0)</f>
        <v>211</v>
      </c>
      <c r="H435" s="10">
        <f>IFERROR(__xludf.DUMMYFUNCTION("""COMPUTED_VALUE"""),99.0)</f>
        <v>99</v>
      </c>
      <c r="I435" s="10">
        <f t="shared" si="1"/>
        <v>471</v>
      </c>
      <c r="J435" s="6">
        <f t="shared" si="2"/>
        <v>0.01274868047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7">
        <v>434.0</v>
      </c>
      <c r="B436" s="7">
        <v>18705.0</v>
      </c>
      <c r="C436" s="7">
        <v>3.0</v>
      </c>
      <c r="D436" s="7">
        <v>44.0</v>
      </c>
      <c r="E436" s="8" t="s">
        <v>415</v>
      </c>
      <c r="F436" s="9">
        <f>IFERROR(__xludf.DUMMYFUNCTION("SPLIT(E436, "","")"),246.0)</f>
        <v>246</v>
      </c>
      <c r="G436" s="10">
        <f>IFERROR(__xludf.DUMMYFUNCTION("""COMPUTED_VALUE"""),41.0)</f>
        <v>41</v>
      </c>
      <c r="H436" s="10">
        <f>IFERROR(__xludf.DUMMYFUNCTION("""COMPUTED_VALUE"""),9.0)</f>
        <v>9</v>
      </c>
      <c r="I436" s="10">
        <f t="shared" si="1"/>
        <v>296</v>
      </c>
      <c r="J436" s="6">
        <f t="shared" si="2"/>
        <v>0.01582464582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7">
        <v>435.0</v>
      </c>
      <c r="B437" s="7">
        <v>27232.0</v>
      </c>
      <c r="C437" s="7">
        <v>2.0</v>
      </c>
      <c r="D437" s="7">
        <v>6.0</v>
      </c>
      <c r="E437" s="8" t="s">
        <v>416</v>
      </c>
      <c r="F437" s="9">
        <f>IFERROR(__xludf.DUMMYFUNCTION("SPLIT(E437, "","")"),201.0)</f>
        <v>201</v>
      </c>
      <c r="G437" s="10">
        <f>IFERROR(__xludf.DUMMYFUNCTION("""COMPUTED_VALUE"""),110.0)</f>
        <v>110</v>
      </c>
      <c r="H437" s="10"/>
      <c r="I437" s="10">
        <f t="shared" si="1"/>
        <v>311</v>
      </c>
      <c r="J437" s="6">
        <f t="shared" si="2"/>
        <v>0.01142038778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7">
        <v>436.0</v>
      </c>
      <c r="B438" s="7">
        <v>4112.0</v>
      </c>
      <c r="C438" s="7">
        <v>1.0</v>
      </c>
      <c r="D438" s="7">
        <v>39.0</v>
      </c>
      <c r="E438" s="11" t="s">
        <v>22</v>
      </c>
      <c r="F438" s="9">
        <f>IFERROR(__xludf.DUMMYFUNCTION("SPLIT(E438, "","")"),39.0)</f>
        <v>39</v>
      </c>
      <c r="G438" s="10"/>
      <c r="H438" s="10"/>
      <c r="I438" s="10">
        <f t="shared" si="1"/>
        <v>39</v>
      </c>
      <c r="J438" s="6">
        <f t="shared" si="2"/>
        <v>0.009484435798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7">
        <v>437.0</v>
      </c>
      <c r="B439" s="7">
        <v>7337.0</v>
      </c>
      <c r="C439" s="7">
        <v>1.0</v>
      </c>
      <c r="D439" s="7">
        <v>8.0</v>
      </c>
      <c r="E439" s="11" t="s">
        <v>190</v>
      </c>
      <c r="F439" s="9">
        <f>IFERROR(__xludf.DUMMYFUNCTION("SPLIT(E439, "","")"),118.0)</f>
        <v>118</v>
      </c>
      <c r="G439" s="10"/>
      <c r="H439" s="10"/>
      <c r="I439" s="10">
        <f t="shared" si="1"/>
        <v>118</v>
      </c>
      <c r="J439" s="6">
        <f t="shared" si="2"/>
        <v>0.01608286766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7">
        <v>438.0</v>
      </c>
      <c r="B440" s="7">
        <v>20305.0</v>
      </c>
      <c r="C440" s="7">
        <v>2.0</v>
      </c>
      <c r="D440" s="7">
        <v>25.0</v>
      </c>
      <c r="E440" s="8" t="s">
        <v>417</v>
      </c>
      <c r="F440" s="9">
        <f>IFERROR(__xludf.DUMMYFUNCTION("SPLIT(E440, "","")"),250.0)</f>
        <v>250</v>
      </c>
      <c r="G440" s="10">
        <f>IFERROR(__xludf.DUMMYFUNCTION("""COMPUTED_VALUE"""),64.0)</f>
        <v>64</v>
      </c>
      <c r="H440" s="10"/>
      <c r="I440" s="10">
        <f t="shared" si="1"/>
        <v>314</v>
      </c>
      <c r="J440" s="6">
        <f t="shared" si="2"/>
        <v>0.01546417139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7">
        <v>439.0</v>
      </c>
      <c r="B441" s="7">
        <v>13176.0</v>
      </c>
      <c r="C441" s="7">
        <v>3.0</v>
      </c>
      <c r="D441" s="7">
        <v>44.0</v>
      </c>
      <c r="E441" s="8" t="s">
        <v>418</v>
      </c>
      <c r="F441" s="9">
        <f>IFERROR(__xludf.DUMMYFUNCTION("SPLIT(E441, "","")"),41.0)</f>
        <v>41</v>
      </c>
      <c r="G441" s="10">
        <f>IFERROR(__xludf.DUMMYFUNCTION("""COMPUTED_VALUE"""),74.0)</f>
        <v>74</v>
      </c>
      <c r="H441" s="10">
        <f>IFERROR(__xludf.DUMMYFUNCTION("""COMPUTED_VALUE"""),58.0)</f>
        <v>58</v>
      </c>
      <c r="I441" s="10">
        <f t="shared" si="1"/>
        <v>173</v>
      </c>
      <c r="J441" s="6">
        <f t="shared" si="2"/>
        <v>0.01312993321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7">
        <v>440.0</v>
      </c>
      <c r="B442" s="7">
        <v>28050.0</v>
      </c>
      <c r="C442" s="7">
        <v>2.0</v>
      </c>
      <c r="D442" s="7">
        <v>27.0</v>
      </c>
      <c r="E442" s="8" t="s">
        <v>419</v>
      </c>
      <c r="F442" s="9">
        <f>IFERROR(__xludf.DUMMYFUNCTION("SPLIT(E442, "","")"),82.0)</f>
        <v>82</v>
      </c>
      <c r="G442" s="10">
        <f>IFERROR(__xludf.DUMMYFUNCTION("""COMPUTED_VALUE"""),58.0)</f>
        <v>58</v>
      </c>
      <c r="H442" s="10"/>
      <c r="I442" s="10">
        <f t="shared" si="1"/>
        <v>140</v>
      </c>
      <c r="J442" s="12">
        <f t="shared" si="2"/>
        <v>0.004991087344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7">
        <v>441.0</v>
      </c>
      <c r="B443" s="7">
        <v>3673.0</v>
      </c>
      <c r="C443" s="7">
        <v>1.0</v>
      </c>
      <c r="D443" s="7">
        <v>49.0</v>
      </c>
      <c r="E443" s="11" t="s">
        <v>118</v>
      </c>
      <c r="F443" s="9">
        <f>IFERROR(__xludf.DUMMYFUNCTION("SPLIT(E443, "","")"),61.0)</f>
        <v>61</v>
      </c>
      <c r="G443" s="10"/>
      <c r="H443" s="10"/>
      <c r="I443" s="10">
        <f t="shared" si="1"/>
        <v>61</v>
      </c>
      <c r="J443" s="6">
        <f t="shared" si="2"/>
        <v>0.01660767765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7">
        <v>442.0</v>
      </c>
      <c r="B444" s="7">
        <v>27934.0</v>
      </c>
      <c r="C444" s="7">
        <v>3.0</v>
      </c>
      <c r="D444" s="7">
        <v>60.0</v>
      </c>
      <c r="E444" s="8" t="s">
        <v>420</v>
      </c>
      <c r="F444" s="9">
        <f>IFERROR(__xludf.DUMMYFUNCTION("SPLIT(E444, "","")"),75.0)</f>
        <v>75</v>
      </c>
      <c r="G444" s="10">
        <f>IFERROR(__xludf.DUMMYFUNCTION("""COMPUTED_VALUE"""),173.0)</f>
        <v>173</v>
      </c>
      <c r="H444" s="10">
        <f>IFERROR(__xludf.DUMMYFUNCTION("""COMPUTED_VALUE"""),46.0)</f>
        <v>46</v>
      </c>
      <c r="I444" s="10">
        <f t="shared" si="1"/>
        <v>294</v>
      </c>
      <c r="J444" s="6">
        <f t="shared" si="2"/>
        <v>0.01052480848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7">
        <v>443.0</v>
      </c>
      <c r="B445" s="7">
        <v>23939.0</v>
      </c>
      <c r="C445" s="7">
        <v>2.0</v>
      </c>
      <c r="D445" s="7">
        <v>64.0</v>
      </c>
      <c r="E445" s="8" t="s">
        <v>421</v>
      </c>
      <c r="F445" s="9">
        <f>IFERROR(__xludf.DUMMYFUNCTION("SPLIT(E445, "","")"),42.0)</f>
        <v>42</v>
      </c>
      <c r="G445" s="10">
        <f>IFERROR(__xludf.DUMMYFUNCTION("""COMPUTED_VALUE"""),132.0)</f>
        <v>132</v>
      </c>
      <c r="H445" s="10"/>
      <c r="I445" s="10">
        <f t="shared" si="1"/>
        <v>174</v>
      </c>
      <c r="J445" s="6">
        <f t="shared" si="2"/>
        <v>0.007268474038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7">
        <v>444.0</v>
      </c>
      <c r="B446" s="7">
        <v>32836.0</v>
      </c>
      <c r="C446" s="7">
        <v>3.0</v>
      </c>
      <c r="D446" s="7">
        <v>28.0</v>
      </c>
      <c r="E446" s="8" t="s">
        <v>422</v>
      </c>
      <c r="F446" s="9">
        <f>IFERROR(__xludf.DUMMYFUNCTION("SPLIT(E446, "","")"),295.0)</f>
        <v>295</v>
      </c>
      <c r="G446" s="10">
        <f>IFERROR(__xludf.DUMMYFUNCTION("""COMPUTED_VALUE"""),209.0)</f>
        <v>209</v>
      </c>
      <c r="H446" s="10">
        <f>IFERROR(__xludf.DUMMYFUNCTION("""COMPUTED_VALUE"""),9.0)</f>
        <v>9</v>
      </c>
      <c r="I446" s="10">
        <f t="shared" si="1"/>
        <v>513</v>
      </c>
      <c r="J446" s="6">
        <f t="shared" si="2"/>
        <v>0.0156230966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7">
        <v>445.0</v>
      </c>
      <c r="B447" s="7">
        <v>16664.0</v>
      </c>
      <c r="C447" s="7">
        <v>2.0</v>
      </c>
      <c r="D447" s="7">
        <v>60.0</v>
      </c>
      <c r="E447" s="8" t="s">
        <v>423</v>
      </c>
      <c r="F447" s="9">
        <f>IFERROR(__xludf.DUMMYFUNCTION("SPLIT(E447, "","")"),82.0)</f>
        <v>82</v>
      </c>
      <c r="G447" s="10">
        <f>IFERROR(__xludf.DUMMYFUNCTION("""COMPUTED_VALUE"""),156.0)</f>
        <v>156</v>
      </c>
      <c r="H447" s="10"/>
      <c r="I447" s="10">
        <f t="shared" si="1"/>
        <v>238</v>
      </c>
      <c r="J447" s="6">
        <f t="shared" si="2"/>
        <v>0.01428228517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7">
        <v>446.0</v>
      </c>
      <c r="B448" s="7">
        <v>6096.0</v>
      </c>
      <c r="C448" s="7">
        <v>1.0</v>
      </c>
      <c r="D448" s="7">
        <v>32.0</v>
      </c>
      <c r="E448" s="11" t="s">
        <v>324</v>
      </c>
      <c r="F448" s="9">
        <f>IFERROR(__xludf.DUMMYFUNCTION("SPLIT(E448, "","")"),65.0)</f>
        <v>65</v>
      </c>
      <c r="G448" s="10"/>
      <c r="H448" s="10"/>
      <c r="I448" s="10">
        <f t="shared" si="1"/>
        <v>65</v>
      </c>
      <c r="J448" s="6">
        <f t="shared" si="2"/>
        <v>0.01066272966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7">
        <v>447.0</v>
      </c>
      <c r="B449" s="7">
        <v>19524.0</v>
      </c>
      <c r="C449" s="7">
        <v>2.0</v>
      </c>
      <c r="D449" s="7">
        <v>28.0</v>
      </c>
      <c r="E449" s="8" t="s">
        <v>424</v>
      </c>
      <c r="F449" s="9">
        <f>IFERROR(__xludf.DUMMYFUNCTION("SPLIT(E449, "","")"),57.0)</f>
        <v>57</v>
      </c>
      <c r="G449" s="10">
        <f>IFERROR(__xludf.DUMMYFUNCTION("""COMPUTED_VALUE"""),228.0)</f>
        <v>228</v>
      </c>
      <c r="H449" s="10"/>
      <c r="I449" s="10">
        <f t="shared" si="1"/>
        <v>285</v>
      </c>
      <c r="J449" s="6">
        <f t="shared" si="2"/>
        <v>0.01459741856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7">
        <v>448.0</v>
      </c>
      <c r="B450" s="7">
        <v>16633.0</v>
      </c>
      <c r="C450" s="7">
        <v>2.0</v>
      </c>
      <c r="D450" s="7">
        <v>51.0</v>
      </c>
      <c r="E450" s="8" t="s">
        <v>425</v>
      </c>
      <c r="F450" s="9">
        <f>IFERROR(__xludf.DUMMYFUNCTION("SPLIT(E450, "","")"),66.0)</f>
        <v>66</v>
      </c>
      <c r="G450" s="10">
        <f>IFERROR(__xludf.DUMMYFUNCTION("""COMPUTED_VALUE"""),198.0)</f>
        <v>198</v>
      </c>
      <c r="H450" s="10"/>
      <c r="I450" s="10">
        <f t="shared" si="1"/>
        <v>264</v>
      </c>
      <c r="J450" s="6">
        <f t="shared" si="2"/>
        <v>0.01587206156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7">
        <v>449.0</v>
      </c>
      <c r="B451" s="7">
        <v>19813.0</v>
      </c>
      <c r="C451" s="7">
        <v>2.0</v>
      </c>
      <c r="D451" s="7">
        <v>36.0</v>
      </c>
      <c r="E451" s="8" t="s">
        <v>426</v>
      </c>
      <c r="F451" s="9">
        <f>IFERROR(__xludf.DUMMYFUNCTION("SPLIT(E451, "","")"),204.0)</f>
        <v>204</v>
      </c>
      <c r="G451" s="10">
        <f>IFERROR(__xludf.DUMMYFUNCTION("""COMPUTED_VALUE"""),48.0)</f>
        <v>48</v>
      </c>
      <c r="H451" s="10"/>
      <c r="I451" s="10">
        <f t="shared" si="1"/>
        <v>252</v>
      </c>
      <c r="J451" s="6">
        <f t="shared" si="2"/>
        <v>0.01271892192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7">
        <v>450.0</v>
      </c>
      <c r="B452" s="7">
        <v>16243.0</v>
      </c>
      <c r="C452" s="7">
        <v>1.0</v>
      </c>
      <c r="D452" s="7">
        <v>49.0</v>
      </c>
      <c r="E452" s="11" t="s">
        <v>427</v>
      </c>
      <c r="F452" s="9">
        <f>IFERROR(__xludf.DUMMYFUNCTION("SPLIT(E452, "","")"),320.0)</f>
        <v>320</v>
      </c>
      <c r="G452" s="10"/>
      <c r="H452" s="10"/>
      <c r="I452" s="10">
        <f t="shared" si="1"/>
        <v>320</v>
      </c>
      <c r="J452" s="6">
        <f t="shared" si="2"/>
        <v>0.01970079419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7">
        <v>451.0</v>
      </c>
      <c r="B453" s="7">
        <v>4873.0</v>
      </c>
      <c r="C453" s="7">
        <v>1.0</v>
      </c>
      <c r="D453" s="7">
        <v>64.0</v>
      </c>
      <c r="E453" s="11" t="s">
        <v>341</v>
      </c>
      <c r="F453" s="9">
        <f>IFERROR(__xludf.DUMMYFUNCTION("SPLIT(E453, "","")"),57.0)</f>
        <v>57</v>
      </c>
      <c r="G453" s="10"/>
      <c r="H453" s="10"/>
      <c r="I453" s="10">
        <f t="shared" si="1"/>
        <v>57</v>
      </c>
      <c r="J453" s="6">
        <f t="shared" si="2"/>
        <v>0.01169710651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7">
        <v>452.0</v>
      </c>
      <c r="B454" s="7">
        <v>14646.0</v>
      </c>
      <c r="C454" s="7">
        <v>1.0</v>
      </c>
      <c r="D454" s="7">
        <v>12.0</v>
      </c>
      <c r="E454" s="11" t="s">
        <v>428</v>
      </c>
      <c r="F454" s="9">
        <f>IFERROR(__xludf.DUMMYFUNCTION("SPLIT(E454, "","")"),207.0)</f>
        <v>207</v>
      </c>
      <c r="G454" s="10"/>
      <c r="H454" s="10"/>
      <c r="I454" s="10">
        <f t="shared" si="1"/>
        <v>207</v>
      </c>
      <c r="J454" s="6">
        <f t="shared" si="2"/>
        <v>0.01413355182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7">
        <v>453.0</v>
      </c>
      <c r="B455" s="7">
        <v>23374.0</v>
      </c>
      <c r="C455" s="7">
        <v>3.0</v>
      </c>
      <c r="D455" s="7">
        <v>34.0</v>
      </c>
      <c r="E455" s="8" t="s">
        <v>429</v>
      </c>
      <c r="F455" s="9">
        <f>IFERROR(__xludf.DUMMYFUNCTION("SPLIT(E455, "","")"),20.0)</f>
        <v>20</v>
      </c>
      <c r="G455" s="10">
        <f>IFERROR(__xludf.DUMMYFUNCTION("""COMPUTED_VALUE"""),215.0)</f>
        <v>215</v>
      </c>
      <c r="H455" s="10">
        <f>IFERROR(__xludf.DUMMYFUNCTION("""COMPUTED_VALUE"""),110.0)</f>
        <v>110</v>
      </c>
      <c r="I455" s="10">
        <f t="shared" si="1"/>
        <v>345</v>
      </c>
      <c r="J455" s="6">
        <f t="shared" si="2"/>
        <v>0.01475998973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7">
        <v>454.0</v>
      </c>
      <c r="B456" s="7">
        <v>36235.0</v>
      </c>
      <c r="C456" s="7">
        <v>3.0</v>
      </c>
      <c r="D456" s="7">
        <v>12.0</v>
      </c>
      <c r="E456" s="8" t="s">
        <v>430</v>
      </c>
      <c r="F456" s="9">
        <f>IFERROR(__xludf.DUMMYFUNCTION("SPLIT(E456, "","")"),26.0)</f>
        <v>26</v>
      </c>
      <c r="G456" s="10">
        <f>IFERROR(__xludf.DUMMYFUNCTION("""COMPUTED_VALUE"""),249.0)</f>
        <v>249</v>
      </c>
      <c r="H456" s="10">
        <f>IFERROR(__xludf.DUMMYFUNCTION("""COMPUTED_VALUE"""),296.0)</f>
        <v>296</v>
      </c>
      <c r="I456" s="10">
        <f t="shared" si="1"/>
        <v>571</v>
      </c>
      <c r="J456" s="6">
        <f t="shared" si="2"/>
        <v>0.01575824479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7">
        <v>455.0</v>
      </c>
      <c r="B457" s="7">
        <v>4647.0</v>
      </c>
      <c r="C457" s="7">
        <v>1.0</v>
      </c>
      <c r="D457" s="7">
        <v>16.0</v>
      </c>
      <c r="E457" s="11" t="s">
        <v>431</v>
      </c>
      <c r="F457" s="9">
        <f>IFERROR(__xludf.DUMMYFUNCTION("SPLIT(E457, "","")"),33.0)</f>
        <v>33</v>
      </c>
      <c r="G457" s="10"/>
      <c r="H457" s="10"/>
      <c r="I457" s="10">
        <f t="shared" si="1"/>
        <v>33</v>
      </c>
      <c r="J457" s="6">
        <f t="shared" si="2"/>
        <v>0.007101355713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7">
        <v>456.0</v>
      </c>
      <c r="B458" s="7">
        <v>4551.0</v>
      </c>
      <c r="C458" s="7">
        <v>1.0</v>
      </c>
      <c r="D458" s="7">
        <v>9.0</v>
      </c>
      <c r="E458" s="11" t="s">
        <v>432</v>
      </c>
      <c r="F458" s="9">
        <f>IFERROR(__xludf.DUMMYFUNCTION("SPLIT(E458, "","")"),85.0)</f>
        <v>85</v>
      </c>
      <c r="G458" s="10"/>
      <c r="H458" s="10"/>
      <c r="I458" s="10">
        <f t="shared" si="1"/>
        <v>85</v>
      </c>
      <c r="J458" s="6">
        <f t="shared" si="2"/>
        <v>0.0186772138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7">
        <v>457.0</v>
      </c>
      <c r="B459" s="7">
        <v>4098.0</v>
      </c>
      <c r="C459" s="7">
        <v>1.0</v>
      </c>
      <c r="D459" s="7">
        <v>34.0</v>
      </c>
      <c r="E459" s="11" t="s">
        <v>87</v>
      </c>
      <c r="F459" s="9">
        <f>IFERROR(__xludf.DUMMYFUNCTION("SPLIT(E459, "","")"),42.0)</f>
        <v>42</v>
      </c>
      <c r="G459" s="10"/>
      <c r="H459" s="10"/>
      <c r="I459" s="10">
        <f t="shared" si="1"/>
        <v>42</v>
      </c>
      <c r="J459" s="6">
        <f t="shared" si="2"/>
        <v>0.0102489019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7">
        <v>458.0</v>
      </c>
      <c r="B460" s="7">
        <v>13537.0</v>
      </c>
      <c r="C460" s="7">
        <v>2.0</v>
      </c>
      <c r="D460" s="7">
        <v>24.0</v>
      </c>
      <c r="E460" s="8" t="s">
        <v>433</v>
      </c>
      <c r="F460" s="9">
        <f>IFERROR(__xludf.DUMMYFUNCTION("SPLIT(E460, "","")"),107.0)</f>
        <v>107</v>
      </c>
      <c r="G460" s="10">
        <f>IFERROR(__xludf.DUMMYFUNCTION("""COMPUTED_VALUE"""),92.0)</f>
        <v>92</v>
      </c>
      <c r="H460" s="10"/>
      <c r="I460" s="10">
        <f t="shared" si="1"/>
        <v>199</v>
      </c>
      <c r="J460" s="6">
        <f t="shared" si="2"/>
        <v>0.01470045062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7">
        <v>459.0</v>
      </c>
      <c r="B461" s="7">
        <v>8419.0</v>
      </c>
      <c r="C461" s="7">
        <v>1.0</v>
      </c>
      <c r="D461" s="7">
        <v>49.0</v>
      </c>
      <c r="E461" s="11" t="s">
        <v>41</v>
      </c>
      <c r="F461" s="9">
        <f>IFERROR(__xludf.DUMMYFUNCTION("SPLIT(E461, "","")"),154.0)</f>
        <v>154</v>
      </c>
      <c r="G461" s="10"/>
      <c r="H461" s="10"/>
      <c r="I461" s="10">
        <f t="shared" si="1"/>
        <v>154</v>
      </c>
      <c r="J461" s="6">
        <f t="shared" si="2"/>
        <v>0.01829195866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7">
        <v>460.0</v>
      </c>
      <c r="B462" s="7">
        <v>7939.0</v>
      </c>
      <c r="C462" s="7">
        <v>3.0</v>
      </c>
      <c r="D462" s="7">
        <v>33.0</v>
      </c>
      <c r="E462" s="8" t="s">
        <v>434</v>
      </c>
      <c r="F462" s="9">
        <f>IFERROR(__xludf.DUMMYFUNCTION("SPLIT(E462, "","")"),59.0)</f>
        <v>59</v>
      </c>
      <c r="G462" s="10">
        <f>IFERROR(__xludf.DUMMYFUNCTION("""COMPUTED_VALUE"""),13.0)</f>
        <v>13</v>
      </c>
      <c r="H462" s="10">
        <f>IFERROR(__xludf.DUMMYFUNCTION("""COMPUTED_VALUE"""),15.0)</f>
        <v>15</v>
      </c>
      <c r="I462" s="10">
        <f t="shared" si="1"/>
        <v>87</v>
      </c>
      <c r="J462" s="6">
        <f t="shared" si="2"/>
        <v>0.01095855901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7">
        <v>461.0</v>
      </c>
      <c r="B463" s="7">
        <v>34537.0</v>
      </c>
      <c r="C463" s="7">
        <v>3.0</v>
      </c>
      <c r="D463" s="7">
        <v>54.0</v>
      </c>
      <c r="E463" s="8" t="s">
        <v>435</v>
      </c>
      <c r="F463" s="9">
        <f>IFERROR(__xludf.DUMMYFUNCTION("SPLIT(E463, "","")"),133.0)</f>
        <v>133</v>
      </c>
      <c r="G463" s="10">
        <f>IFERROR(__xludf.DUMMYFUNCTION("""COMPUTED_VALUE"""),107.0)</f>
        <v>107</v>
      </c>
      <c r="H463" s="10">
        <f>IFERROR(__xludf.DUMMYFUNCTION("""COMPUTED_VALUE"""),116.0)</f>
        <v>116</v>
      </c>
      <c r="I463" s="10">
        <f t="shared" si="1"/>
        <v>356</v>
      </c>
      <c r="J463" s="6">
        <f t="shared" si="2"/>
        <v>0.01030778585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7">
        <v>462.0</v>
      </c>
      <c r="B464" s="7">
        <v>6929.0</v>
      </c>
      <c r="C464" s="7">
        <v>1.0</v>
      </c>
      <c r="D464" s="7">
        <v>69.0</v>
      </c>
      <c r="E464" s="11" t="s">
        <v>272</v>
      </c>
      <c r="F464" s="9">
        <f>IFERROR(__xludf.DUMMYFUNCTION("SPLIT(E464, "","")"),109.0)</f>
        <v>109</v>
      </c>
      <c r="G464" s="10"/>
      <c r="H464" s="10"/>
      <c r="I464" s="10">
        <f t="shared" si="1"/>
        <v>109</v>
      </c>
      <c r="J464" s="6">
        <f t="shared" si="2"/>
        <v>0.01573098571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7">
        <v>463.0</v>
      </c>
      <c r="B465" s="7">
        <v>6045.0</v>
      </c>
      <c r="C465" s="7">
        <v>2.0</v>
      </c>
      <c r="D465" s="7">
        <v>40.0</v>
      </c>
      <c r="E465" s="8" t="s">
        <v>436</v>
      </c>
      <c r="F465" s="9">
        <f>IFERROR(__xludf.DUMMYFUNCTION("SPLIT(E465, "","")"),16.0)</f>
        <v>16</v>
      </c>
      <c r="G465" s="10">
        <f>IFERROR(__xludf.DUMMYFUNCTION("""COMPUTED_VALUE"""),87.0)</f>
        <v>87</v>
      </c>
      <c r="H465" s="10"/>
      <c r="I465" s="10">
        <f t="shared" si="1"/>
        <v>103</v>
      </c>
      <c r="J465" s="6">
        <f t="shared" si="2"/>
        <v>0.0170388751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7">
        <v>464.0</v>
      </c>
      <c r="B466" s="7">
        <v>3653.0</v>
      </c>
      <c r="C466" s="7">
        <v>2.0</v>
      </c>
      <c r="D466" s="7">
        <v>72.0</v>
      </c>
      <c r="E466" s="8" t="s">
        <v>437</v>
      </c>
      <c r="F466" s="9">
        <f>IFERROR(__xludf.DUMMYFUNCTION("SPLIT(E466, "","")"),7.0)</f>
        <v>7</v>
      </c>
      <c r="G466" s="10">
        <f>IFERROR(__xludf.DUMMYFUNCTION("""COMPUTED_VALUE"""),37.0)</f>
        <v>37</v>
      </c>
      <c r="H466" s="10"/>
      <c r="I466" s="10">
        <f t="shared" si="1"/>
        <v>44</v>
      </c>
      <c r="J466" s="6">
        <f t="shared" si="2"/>
        <v>0.01204489461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7">
        <v>465.0</v>
      </c>
      <c r="B467" s="7">
        <v>14709.0</v>
      </c>
      <c r="C467" s="7">
        <v>1.0</v>
      </c>
      <c r="D467" s="7">
        <v>20.0</v>
      </c>
      <c r="E467" s="11" t="s">
        <v>302</v>
      </c>
      <c r="F467" s="9">
        <f>IFERROR(__xludf.DUMMYFUNCTION("SPLIT(E467, "","")"),79.0)</f>
        <v>79</v>
      </c>
      <c r="G467" s="10"/>
      <c r="H467" s="10"/>
      <c r="I467" s="10">
        <f t="shared" si="1"/>
        <v>79</v>
      </c>
      <c r="J467" s="12">
        <f t="shared" si="2"/>
        <v>0.005370861377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7">
        <v>466.0</v>
      </c>
      <c r="B468" s="7">
        <v>18941.0</v>
      </c>
      <c r="C468" s="7">
        <v>2.0</v>
      </c>
      <c r="D468" s="7">
        <v>9.0</v>
      </c>
      <c r="E468" s="8" t="s">
        <v>438</v>
      </c>
      <c r="F468" s="9">
        <f>IFERROR(__xludf.DUMMYFUNCTION("SPLIT(E468, "","")"),236.0)</f>
        <v>236</v>
      </c>
      <c r="G468" s="10">
        <f>IFERROR(__xludf.DUMMYFUNCTION("""COMPUTED_VALUE"""),51.0)</f>
        <v>51</v>
      </c>
      <c r="H468" s="10"/>
      <c r="I468" s="10">
        <f t="shared" si="1"/>
        <v>287</v>
      </c>
      <c r="J468" s="6">
        <f t="shared" si="2"/>
        <v>0.01515231508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7">
        <v>467.0</v>
      </c>
      <c r="B469" s="7">
        <v>5065.0</v>
      </c>
      <c r="C469" s="7">
        <v>1.0</v>
      </c>
      <c r="D469" s="7">
        <v>64.0</v>
      </c>
      <c r="E469" s="11" t="s">
        <v>221</v>
      </c>
      <c r="F469" s="9">
        <f>IFERROR(__xludf.DUMMYFUNCTION("SPLIT(E469, "","")"),46.0)</f>
        <v>46</v>
      </c>
      <c r="G469" s="10"/>
      <c r="H469" s="10"/>
      <c r="I469" s="10">
        <f t="shared" si="1"/>
        <v>46</v>
      </c>
      <c r="J469" s="6">
        <f t="shared" si="2"/>
        <v>0.009081934847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7">
        <v>468.0</v>
      </c>
      <c r="B470" s="7">
        <v>28164.0</v>
      </c>
      <c r="C470" s="7">
        <v>3.0</v>
      </c>
      <c r="D470" s="7">
        <v>56.0</v>
      </c>
      <c r="E470" s="8" t="s">
        <v>439</v>
      </c>
      <c r="F470" s="9">
        <f>IFERROR(__xludf.DUMMYFUNCTION("SPLIT(E470, "","")"),15.0)</f>
        <v>15</v>
      </c>
      <c r="G470" s="10">
        <f>IFERROR(__xludf.DUMMYFUNCTION("""COMPUTED_VALUE"""),101.0)</f>
        <v>101</v>
      </c>
      <c r="H470" s="10">
        <f>IFERROR(__xludf.DUMMYFUNCTION("""COMPUTED_VALUE"""),254.0)</f>
        <v>254</v>
      </c>
      <c r="I470" s="10">
        <f t="shared" si="1"/>
        <v>370</v>
      </c>
      <c r="J470" s="6">
        <f t="shared" si="2"/>
        <v>0.01313733845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7">
        <v>469.0</v>
      </c>
      <c r="B471" s="7">
        <v>4143.0</v>
      </c>
      <c r="C471" s="7">
        <v>1.0</v>
      </c>
      <c r="D471" s="7">
        <v>16.0</v>
      </c>
      <c r="E471" s="11" t="s">
        <v>440</v>
      </c>
      <c r="F471" s="9">
        <f>IFERROR(__xludf.DUMMYFUNCTION("SPLIT(E471, "","")"),54.0)</f>
        <v>54</v>
      </c>
      <c r="G471" s="10"/>
      <c r="H471" s="10"/>
      <c r="I471" s="10">
        <f t="shared" si="1"/>
        <v>54</v>
      </c>
      <c r="J471" s="6">
        <f t="shared" si="2"/>
        <v>0.01303403331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7">
        <v>470.0</v>
      </c>
      <c r="B472" s="7">
        <v>10014.0</v>
      </c>
      <c r="C472" s="7">
        <v>3.0</v>
      </c>
      <c r="D472" s="7">
        <v>12.0</v>
      </c>
      <c r="E472" s="8" t="s">
        <v>441</v>
      </c>
      <c r="F472" s="9">
        <f>IFERROR(__xludf.DUMMYFUNCTION("SPLIT(E472, "","")"),22.0)</f>
        <v>22</v>
      </c>
      <c r="G472" s="10">
        <f>IFERROR(__xludf.DUMMYFUNCTION("""COMPUTED_VALUE"""),82.0)</f>
        <v>82</v>
      </c>
      <c r="H472" s="10">
        <f>IFERROR(__xludf.DUMMYFUNCTION("""COMPUTED_VALUE"""),20.0)</f>
        <v>20</v>
      </c>
      <c r="I472" s="10">
        <f t="shared" si="1"/>
        <v>124</v>
      </c>
      <c r="J472" s="6">
        <f t="shared" si="2"/>
        <v>0.01238266427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7">
        <v>471.0</v>
      </c>
      <c r="B473" s="7">
        <v>18199.0</v>
      </c>
      <c r="C473" s="7">
        <v>3.0</v>
      </c>
      <c r="D473" s="7">
        <v>36.0</v>
      </c>
      <c r="E473" s="8" t="s">
        <v>442</v>
      </c>
      <c r="F473" s="9">
        <f>IFERROR(__xludf.DUMMYFUNCTION("SPLIT(E473, "","")"),72.0)</f>
        <v>72</v>
      </c>
      <c r="G473" s="10">
        <f>IFERROR(__xludf.DUMMYFUNCTION("""COMPUTED_VALUE"""),70.0)</f>
        <v>70</v>
      </c>
      <c r="H473" s="10">
        <f>IFERROR(__xludf.DUMMYFUNCTION("""COMPUTED_VALUE"""),98.0)</f>
        <v>98</v>
      </c>
      <c r="I473" s="10">
        <f t="shared" si="1"/>
        <v>240</v>
      </c>
      <c r="J473" s="6">
        <f t="shared" si="2"/>
        <v>0.01318753778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7">
        <v>472.0</v>
      </c>
      <c r="B474" s="7">
        <v>30973.0</v>
      </c>
      <c r="C474" s="7">
        <v>2.0</v>
      </c>
      <c r="D474" s="7">
        <v>4.0</v>
      </c>
      <c r="E474" s="8" t="s">
        <v>443</v>
      </c>
      <c r="F474" s="9">
        <f>IFERROR(__xludf.DUMMYFUNCTION("SPLIT(E474, "","")"),254.0)</f>
        <v>254</v>
      </c>
      <c r="G474" s="10">
        <f>IFERROR(__xludf.DUMMYFUNCTION("""COMPUTED_VALUE"""),89.0)</f>
        <v>89</v>
      </c>
      <c r="H474" s="10"/>
      <c r="I474" s="10">
        <f t="shared" si="1"/>
        <v>343</v>
      </c>
      <c r="J474" s="6">
        <f t="shared" si="2"/>
        <v>0.01107416137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7">
        <v>473.0</v>
      </c>
      <c r="B475" s="7">
        <v>5354.0</v>
      </c>
      <c r="C475" s="7">
        <v>1.0</v>
      </c>
      <c r="D475" s="7">
        <v>42.0</v>
      </c>
      <c r="E475" s="11" t="s">
        <v>361</v>
      </c>
      <c r="F475" s="9">
        <f>IFERROR(__xludf.DUMMYFUNCTION("SPLIT(E475, "","")"),97.0)</f>
        <v>97</v>
      </c>
      <c r="G475" s="10"/>
      <c r="H475" s="10"/>
      <c r="I475" s="10">
        <f t="shared" si="1"/>
        <v>97</v>
      </c>
      <c r="J475" s="6">
        <f t="shared" si="2"/>
        <v>0.01811729548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7">
        <v>474.0</v>
      </c>
      <c r="B476" s="7">
        <v>11790.0</v>
      </c>
      <c r="C476" s="7">
        <v>2.0</v>
      </c>
      <c r="D476" s="7">
        <v>40.0</v>
      </c>
      <c r="E476" s="8" t="s">
        <v>444</v>
      </c>
      <c r="F476" s="9">
        <f>IFERROR(__xludf.DUMMYFUNCTION("SPLIT(E476, "","")"),49.0)</f>
        <v>49</v>
      </c>
      <c r="G476" s="10">
        <f>IFERROR(__xludf.DUMMYFUNCTION("""COMPUTED_VALUE"""),34.0)</f>
        <v>34</v>
      </c>
      <c r="H476" s="10"/>
      <c r="I476" s="10">
        <f t="shared" si="1"/>
        <v>83</v>
      </c>
      <c r="J476" s="6">
        <f t="shared" si="2"/>
        <v>0.007039864292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7">
        <v>475.0</v>
      </c>
      <c r="B477" s="7">
        <v>12701.0</v>
      </c>
      <c r="C477" s="7">
        <v>2.0</v>
      </c>
      <c r="D477" s="7">
        <v>75.0</v>
      </c>
      <c r="E477" s="8" t="s">
        <v>445</v>
      </c>
      <c r="F477" s="9">
        <f>IFERROR(__xludf.DUMMYFUNCTION("SPLIT(E477, "","")"),85.0)</f>
        <v>85</v>
      </c>
      <c r="G477" s="10">
        <f>IFERROR(__xludf.DUMMYFUNCTION("""COMPUTED_VALUE"""),10.0)</f>
        <v>10</v>
      </c>
      <c r="H477" s="10"/>
      <c r="I477" s="10">
        <f t="shared" si="1"/>
        <v>95</v>
      </c>
      <c r="J477" s="6">
        <f t="shared" si="2"/>
        <v>0.007479726006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7">
        <v>476.0</v>
      </c>
      <c r="B478" s="7">
        <v>22154.0</v>
      </c>
      <c r="C478" s="7">
        <v>3.0</v>
      </c>
      <c r="D478" s="7">
        <v>18.0</v>
      </c>
      <c r="E478" s="8" t="s">
        <v>446</v>
      </c>
      <c r="F478" s="9">
        <f>IFERROR(__xludf.DUMMYFUNCTION("SPLIT(E478, "","")"),129.0)</f>
        <v>129</v>
      </c>
      <c r="G478" s="10">
        <f>IFERROR(__xludf.DUMMYFUNCTION("""COMPUTED_VALUE"""),20.0)</f>
        <v>20</v>
      </c>
      <c r="H478" s="10">
        <f>IFERROR(__xludf.DUMMYFUNCTION("""COMPUTED_VALUE"""),78.0)</f>
        <v>78</v>
      </c>
      <c r="I478" s="10">
        <f t="shared" si="1"/>
        <v>227</v>
      </c>
      <c r="J478" s="6">
        <f t="shared" si="2"/>
        <v>0.01024645662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7">
        <v>477.0</v>
      </c>
      <c r="B479" s="7">
        <v>4845.0</v>
      </c>
      <c r="C479" s="7">
        <v>2.0</v>
      </c>
      <c r="D479" s="7">
        <v>60.0</v>
      </c>
      <c r="E479" s="8" t="s">
        <v>447</v>
      </c>
      <c r="F479" s="9">
        <f>IFERROR(__xludf.DUMMYFUNCTION("SPLIT(E479, "","")"),14.0)</f>
        <v>14</v>
      </c>
      <c r="G479" s="10">
        <f>IFERROR(__xludf.DUMMYFUNCTION("""COMPUTED_VALUE"""),69.0)</f>
        <v>69</v>
      </c>
      <c r="H479" s="10"/>
      <c r="I479" s="10">
        <f t="shared" si="1"/>
        <v>83</v>
      </c>
      <c r="J479" s="6">
        <f t="shared" si="2"/>
        <v>0.01713106295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7">
        <v>478.0</v>
      </c>
      <c r="B480" s="7">
        <v>18338.0</v>
      </c>
      <c r="C480" s="7">
        <v>3.0</v>
      </c>
      <c r="D480" s="7">
        <v>6.0</v>
      </c>
      <c r="E480" s="11" t="s">
        <v>448</v>
      </c>
      <c r="F480" s="9">
        <f>IFERROR(__xludf.DUMMYFUNCTION("SPLIT(E480, "","")"),283.0)</f>
        <v>283</v>
      </c>
      <c r="G480" s="10">
        <f>IFERROR(__xludf.DUMMYFUNCTION("""COMPUTED_VALUE"""),4.0)</f>
        <v>4</v>
      </c>
      <c r="H480" s="10">
        <f>IFERROR(__xludf.DUMMYFUNCTION("""COMPUTED_VALUE"""),30.0)</f>
        <v>30</v>
      </c>
      <c r="I480" s="10">
        <f t="shared" si="1"/>
        <v>317</v>
      </c>
      <c r="J480" s="6">
        <f t="shared" si="2"/>
        <v>0.01728650889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7">
        <v>479.0</v>
      </c>
      <c r="B481" s="7">
        <v>5673.0</v>
      </c>
      <c r="C481" s="7">
        <v>1.0</v>
      </c>
      <c r="D481" s="7">
        <v>20.0</v>
      </c>
      <c r="E481" s="11" t="s">
        <v>131</v>
      </c>
      <c r="F481" s="9">
        <f>IFERROR(__xludf.DUMMYFUNCTION("SPLIT(E481, "","")"),99.0)</f>
        <v>99</v>
      </c>
      <c r="G481" s="10"/>
      <c r="H481" s="10"/>
      <c r="I481" s="10">
        <f t="shared" si="1"/>
        <v>99</v>
      </c>
      <c r="J481" s="6">
        <f t="shared" si="2"/>
        <v>0.01745108408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7">
        <v>480.0</v>
      </c>
      <c r="B482" s="7">
        <v>22836.0</v>
      </c>
      <c r="C482" s="7">
        <v>3.0</v>
      </c>
      <c r="D482" s="7">
        <v>54.0</v>
      </c>
      <c r="E482" s="8" t="s">
        <v>449</v>
      </c>
      <c r="F482" s="9">
        <f>IFERROR(__xludf.DUMMYFUNCTION("SPLIT(E482, "","")"),64.0)</f>
        <v>64</v>
      </c>
      <c r="G482" s="10">
        <f>IFERROR(__xludf.DUMMYFUNCTION("""COMPUTED_VALUE"""),251.0)</f>
        <v>251</v>
      </c>
      <c r="H482" s="10">
        <f>IFERROR(__xludf.DUMMYFUNCTION("""COMPUTED_VALUE"""),22.0)</f>
        <v>22</v>
      </c>
      <c r="I482" s="10">
        <f t="shared" si="1"/>
        <v>337</v>
      </c>
      <c r="J482" s="6">
        <f t="shared" si="2"/>
        <v>0.0147574006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7">
        <v>481.0</v>
      </c>
      <c r="B483" s="7">
        <v>23835.0</v>
      </c>
      <c r="C483" s="7">
        <v>3.0</v>
      </c>
      <c r="D483" s="7">
        <v>54.0</v>
      </c>
      <c r="E483" s="8" t="s">
        <v>450</v>
      </c>
      <c r="F483" s="9">
        <f>IFERROR(__xludf.DUMMYFUNCTION("SPLIT(E483, "","")"),135.0)</f>
        <v>135</v>
      </c>
      <c r="G483" s="10">
        <f>IFERROR(__xludf.DUMMYFUNCTION("""COMPUTED_VALUE"""),19.0)</f>
        <v>19</v>
      </c>
      <c r="H483" s="10">
        <f>IFERROR(__xludf.DUMMYFUNCTION("""COMPUTED_VALUE"""),142.0)</f>
        <v>142</v>
      </c>
      <c r="I483" s="10">
        <f t="shared" si="1"/>
        <v>296</v>
      </c>
      <c r="J483" s="6">
        <f t="shared" si="2"/>
        <v>0.01241871198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7">
        <v>482.0</v>
      </c>
      <c r="B484" s="7">
        <v>3657.0</v>
      </c>
      <c r="C484" s="7">
        <v>1.0</v>
      </c>
      <c r="D484" s="7">
        <v>18.0</v>
      </c>
      <c r="E484" s="11" t="s">
        <v>451</v>
      </c>
      <c r="F484" s="9">
        <f>IFERROR(__xludf.DUMMYFUNCTION("SPLIT(E484, "","")"),40.0)</f>
        <v>40</v>
      </c>
      <c r="G484" s="10"/>
      <c r="H484" s="10"/>
      <c r="I484" s="10">
        <f t="shared" si="1"/>
        <v>40</v>
      </c>
      <c r="J484" s="6">
        <f t="shared" si="2"/>
        <v>0.01093792726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7">
        <v>483.0</v>
      </c>
      <c r="B485" s="7">
        <v>23673.0</v>
      </c>
      <c r="C485" s="7">
        <v>3.0</v>
      </c>
      <c r="D485" s="7">
        <v>32.0</v>
      </c>
      <c r="E485" s="8" t="s">
        <v>452</v>
      </c>
      <c r="F485" s="9">
        <f>IFERROR(__xludf.DUMMYFUNCTION("SPLIT(E485, "","")"),8.0)</f>
        <v>8</v>
      </c>
      <c r="G485" s="10">
        <f>IFERROR(__xludf.DUMMYFUNCTION("""COMPUTED_VALUE"""),299.0)</f>
        <v>299</v>
      </c>
      <c r="H485" s="10">
        <f>IFERROR(__xludf.DUMMYFUNCTION("""COMPUTED_VALUE"""),134.0)</f>
        <v>134</v>
      </c>
      <c r="I485" s="10">
        <f t="shared" si="1"/>
        <v>441</v>
      </c>
      <c r="J485" s="6">
        <f t="shared" si="2"/>
        <v>0.01862881764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7">
        <v>484.0</v>
      </c>
      <c r="B486" s="7">
        <v>44164.0</v>
      </c>
      <c r="C486" s="7">
        <v>3.0</v>
      </c>
      <c r="D486" s="7">
        <v>56.0</v>
      </c>
      <c r="E486" s="8" t="s">
        <v>453</v>
      </c>
      <c r="F486" s="9">
        <f>IFERROR(__xludf.DUMMYFUNCTION("SPLIT(E486, "","")"),151.0)</f>
        <v>151</v>
      </c>
      <c r="G486" s="10">
        <f>IFERROR(__xludf.DUMMYFUNCTION("""COMPUTED_VALUE"""),72.0)</f>
        <v>72</v>
      </c>
      <c r="H486" s="10">
        <f>IFERROR(__xludf.DUMMYFUNCTION("""COMPUTED_VALUE"""),165.0)</f>
        <v>165</v>
      </c>
      <c r="I486" s="10">
        <f t="shared" si="1"/>
        <v>388</v>
      </c>
      <c r="J486" s="6">
        <f t="shared" si="2"/>
        <v>0.008785436102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7">
        <v>485.0</v>
      </c>
      <c r="B487" s="7">
        <v>10270.0</v>
      </c>
      <c r="C487" s="7">
        <v>1.0</v>
      </c>
      <c r="D487" s="7">
        <v>6.0</v>
      </c>
      <c r="E487" s="11" t="s">
        <v>190</v>
      </c>
      <c r="F487" s="9">
        <f>IFERROR(__xludf.DUMMYFUNCTION("SPLIT(E487, "","")"),118.0)</f>
        <v>118</v>
      </c>
      <c r="G487" s="10"/>
      <c r="H487" s="10"/>
      <c r="I487" s="10">
        <f t="shared" si="1"/>
        <v>118</v>
      </c>
      <c r="J487" s="6">
        <f t="shared" si="2"/>
        <v>0.01148977605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7">
        <v>486.0</v>
      </c>
      <c r="B488" s="7">
        <v>12131.0</v>
      </c>
      <c r="C488" s="7">
        <v>3.0</v>
      </c>
      <c r="D488" s="7">
        <v>24.0</v>
      </c>
      <c r="E488" s="8" t="s">
        <v>454</v>
      </c>
      <c r="F488" s="9">
        <f>IFERROR(__xludf.DUMMYFUNCTION("SPLIT(E488, "","")"),25.0)</f>
        <v>25</v>
      </c>
      <c r="G488" s="10">
        <f>IFERROR(__xludf.DUMMYFUNCTION("""COMPUTED_VALUE"""),78.0)</f>
        <v>78</v>
      </c>
      <c r="H488" s="10">
        <f>IFERROR(__xludf.DUMMYFUNCTION("""COMPUTED_VALUE"""),31.0)</f>
        <v>31</v>
      </c>
      <c r="I488" s="10">
        <f t="shared" si="1"/>
        <v>134</v>
      </c>
      <c r="J488" s="6">
        <f t="shared" si="2"/>
        <v>0.01104608029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7">
        <v>487.0</v>
      </c>
      <c r="B489" s="7">
        <v>16272.0</v>
      </c>
      <c r="C489" s="7">
        <v>1.0</v>
      </c>
      <c r="D489" s="7">
        <v>48.0</v>
      </c>
      <c r="E489" s="11" t="s">
        <v>40</v>
      </c>
      <c r="F489" s="9">
        <f>IFERROR(__xludf.DUMMYFUNCTION("SPLIT(E489, "","")"),187.0)</f>
        <v>187</v>
      </c>
      <c r="G489" s="10"/>
      <c r="H489" s="10"/>
      <c r="I489" s="10">
        <f t="shared" si="1"/>
        <v>187</v>
      </c>
      <c r="J489" s="6">
        <f t="shared" si="2"/>
        <v>0.01149213373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7">
        <v>488.0</v>
      </c>
      <c r="B490" s="7">
        <v>6610.0</v>
      </c>
      <c r="C490" s="7">
        <v>1.0</v>
      </c>
      <c r="D490" s="7">
        <v>9.0</v>
      </c>
      <c r="E490" s="11" t="s">
        <v>451</v>
      </c>
      <c r="F490" s="9">
        <f>IFERROR(__xludf.DUMMYFUNCTION("SPLIT(E490, "","")"),40.0)</f>
        <v>40</v>
      </c>
      <c r="G490" s="10"/>
      <c r="H490" s="10"/>
      <c r="I490" s="10">
        <f t="shared" si="1"/>
        <v>40</v>
      </c>
      <c r="J490" s="12">
        <f t="shared" si="2"/>
        <v>0.006051437216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7">
        <v>489.0</v>
      </c>
      <c r="B491" s="7">
        <v>18227.0</v>
      </c>
      <c r="C491" s="7">
        <v>3.0</v>
      </c>
      <c r="D491" s="7">
        <v>54.0</v>
      </c>
      <c r="E491" s="8" t="s">
        <v>455</v>
      </c>
      <c r="F491" s="9">
        <f>IFERROR(__xludf.DUMMYFUNCTION("SPLIT(E491, "","")"),20.0)</f>
        <v>20</v>
      </c>
      <c r="G491" s="10">
        <f>IFERROR(__xludf.DUMMYFUNCTION("""COMPUTED_VALUE"""),261.0)</f>
        <v>261</v>
      </c>
      <c r="H491" s="10">
        <f>IFERROR(__xludf.DUMMYFUNCTION("""COMPUTED_VALUE"""),11.0)</f>
        <v>11</v>
      </c>
      <c r="I491" s="10">
        <f t="shared" si="1"/>
        <v>292</v>
      </c>
      <c r="J491" s="6">
        <f t="shared" si="2"/>
        <v>0.01602018983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7">
        <v>490.0</v>
      </c>
      <c r="B492" s="7">
        <v>22031.0</v>
      </c>
      <c r="C492" s="7">
        <v>3.0</v>
      </c>
      <c r="D492" s="7">
        <v>34.0</v>
      </c>
      <c r="E492" s="8" t="s">
        <v>456</v>
      </c>
      <c r="F492" s="9">
        <f>IFERROR(__xludf.DUMMYFUNCTION("SPLIT(E492, "","")"),118.0)</f>
        <v>118</v>
      </c>
      <c r="G492" s="10">
        <f>IFERROR(__xludf.DUMMYFUNCTION("""COMPUTED_VALUE"""),47.0)</f>
        <v>47</v>
      </c>
      <c r="H492" s="10">
        <f>IFERROR(__xludf.DUMMYFUNCTION("""COMPUTED_VALUE"""),50.0)</f>
        <v>50</v>
      </c>
      <c r="I492" s="10">
        <f t="shared" si="1"/>
        <v>215</v>
      </c>
      <c r="J492" s="6">
        <f t="shared" si="2"/>
        <v>0.009758975988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7">
        <v>491.0</v>
      </c>
      <c r="B493" s="7">
        <v>16178.0</v>
      </c>
      <c r="C493" s="7">
        <v>2.0</v>
      </c>
      <c r="D493" s="7">
        <v>70.0</v>
      </c>
      <c r="E493" s="8" t="s">
        <v>457</v>
      </c>
      <c r="F493" s="9">
        <f>IFERROR(__xludf.DUMMYFUNCTION("SPLIT(E493, "","")"),170.0)</f>
        <v>170</v>
      </c>
      <c r="G493" s="10">
        <f>IFERROR(__xludf.DUMMYFUNCTION("""COMPUTED_VALUE"""),13.0)</f>
        <v>13</v>
      </c>
      <c r="H493" s="10"/>
      <c r="I493" s="10">
        <f t="shared" si="1"/>
        <v>183</v>
      </c>
      <c r="J493" s="6">
        <f t="shared" si="2"/>
        <v>0.01131165781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7">
        <v>492.0</v>
      </c>
      <c r="B494" s="7">
        <v>18395.0</v>
      </c>
      <c r="C494" s="7">
        <v>2.0</v>
      </c>
      <c r="D494" s="7">
        <v>56.0</v>
      </c>
      <c r="E494" s="8" t="s">
        <v>458</v>
      </c>
      <c r="F494" s="9">
        <f>IFERROR(__xludf.DUMMYFUNCTION("SPLIT(E494, "","")"),158.0)</f>
        <v>158</v>
      </c>
      <c r="G494" s="10">
        <f>IFERROR(__xludf.DUMMYFUNCTION("""COMPUTED_VALUE"""),15.0)</f>
        <v>15</v>
      </c>
      <c r="H494" s="10"/>
      <c r="I494" s="10">
        <f t="shared" si="1"/>
        <v>173</v>
      </c>
      <c r="J494" s="6">
        <f t="shared" si="2"/>
        <v>0.009404729546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7">
        <v>493.0</v>
      </c>
      <c r="B495" s="7">
        <v>18571.0</v>
      </c>
      <c r="C495" s="7">
        <v>2.0</v>
      </c>
      <c r="D495" s="7">
        <v>64.0</v>
      </c>
      <c r="E495" s="8" t="s">
        <v>459</v>
      </c>
      <c r="F495" s="9">
        <f>IFERROR(__xludf.DUMMYFUNCTION("SPLIT(E495, "","")"),23.0)</f>
        <v>23</v>
      </c>
      <c r="G495" s="10">
        <f>IFERROR(__xludf.DUMMYFUNCTION("""COMPUTED_VALUE"""),114.0)</f>
        <v>114</v>
      </c>
      <c r="H495" s="10"/>
      <c r="I495" s="10">
        <f t="shared" si="1"/>
        <v>137</v>
      </c>
      <c r="J495" s="6">
        <f t="shared" si="2"/>
        <v>0.007377093318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7">
        <v>494.0</v>
      </c>
      <c r="B496" s="7">
        <v>24153.0</v>
      </c>
      <c r="C496" s="7">
        <v>3.0</v>
      </c>
      <c r="D496" s="7">
        <v>22.0</v>
      </c>
      <c r="E496" s="8" t="s">
        <v>460</v>
      </c>
      <c r="F496" s="9">
        <f>IFERROR(__xludf.DUMMYFUNCTION("SPLIT(E496, "","")"),35.0)</f>
        <v>35</v>
      </c>
      <c r="G496" s="10">
        <f>IFERROR(__xludf.DUMMYFUNCTION("""COMPUTED_VALUE"""),18.0)</f>
        <v>18</v>
      </c>
      <c r="H496" s="10">
        <f>IFERROR(__xludf.DUMMYFUNCTION("""COMPUTED_VALUE"""),189.0)</f>
        <v>189</v>
      </c>
      <c r="I496" s="10">
        <f t="shared" si="1"/>
        <v>242</v>
      </c>
      <c r="J496" s="6">
        <f t="shared" si="2"/>
        <v>0.01001945928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7">
        <v>495.0</v>
      </c>
      <c r="B497" s="7">
        <v>3908.0</v>
      </c>
      <c r="C497" s="7">
        <v>1.0</v>
      </c>
      <c r="D497" s="7">
        <v>24.0</v>
      </c>
      <c r="E497" s="11" t="s">
        <v>461</v>
      </c>
      <c r="F497" s="9">
        <f>IFERROR(__xludf.DUMMYFUNCTION("SPLIT(E497, "","")"),35.0)</f>
        <v>35</v>
      </c>
      <c r="G497" s="10"/>
      <c r="H497" s="10"/>
      <c r="I497" s="10">
        <f t="shared" si="1"/>
        <v>35</v>
      </c>
      <c r="J497" s="6">
        <f t="shared" si="2"/>
        <v>0.008955987718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7">
        <v>496.0</v>
      </c>
      <c r="B498" s="7">
        <v>7608.0</v>
      </c>
      <c r="C498" s="7">
        <v>3.0</v>
      </c>
      <c r="D498" s="7">
        <v>42.0</v>
      </c>
      <c r="E498" s="11" t="s">
        <v>462</v>
      </c>
      <c r="F498" s="9">
        <f>IFERROR(__xludf.DUMMYFUNCTION("SPLIT(E498, "","")"),29.0)</f>
        <v>29</v>
      </c>
      <c r="G498" s="10">
        <f>IFERROR(__xludf.DUMMYFUNCTION("""COMPUTED_VALUE"""),6.0)</f>
        <v>6</v>
      </c>
      <c r="H498" s="10">
        <f>IFERROR(__xludf.DUMMYFUNCTION("""COMPUTED_VALUE"""),24.0)</f>
        <v>24</v>
      </c>
      <c r="I498" s="10">
        <f t="shared" si="1"/>
        <v>59</v>
      </c>
      <c r="J498" s="6">
        <f t="shared" si="2"/>
        <v>0.007754994742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7">
        <v>497.0</v>
      </c>
      <c r="B499" s="7">
        <v>4467.0</v>
      </c>
      <c r="C499" s="7">
        <v>1.0</v>
      </c>
      <c r="D499" s="7">
        <v>45.0</v>
      </c>
      <c r="E499" s="11" t="s">
        <v>463</v>
      </c>
      <c r="F499" s="9">
        <f>IFERROR(__xludf.DUMMYFUNCTION("SPLIT(E499, "","")"),27.0)</f>
        <v>27</v>
      </c>
      <c r="G499" s="10"/>
      <c r="H499" s="10"/>
      <c r="I499" s="10">
        <f t="shared" si="1"/>
        <v>27</v>
      </c>
      <c r="J499" s="6">
        <f t="shared" si="2"/>
        <v>0.00604432505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7">
        <v>498.0</v>
      </c>
      <c r="B500" s="7">
        <v>8073.0</v>
      </c>
      <c r="C500" s="7">
        <v>2.0</v>
      </c>
      <c r="D500" s="7">
        <v>35.0</v>
      </c>
      <c r="E500" s="8" t="s">
        <v>464</v>
      </c>
      <c r="F500" s="9">
        <f>IFERROR(__xludf.DUMMYFUNCTION("SPLIT(E500, "","")"),17.0)</f>
        <v>17</v>
      </c>
      <c r="G500" s="10">
        <f>IFERROR(__xludf.DUMMYFUNCTION("""COMPUTED_VALUE"""),57.0)</f>
        <v>57</v>
      </c>
      <c r="H500" s="10"/>
      <c r="I500" s="10">
        <f t="shared" si="1"/>
        <v>74</v>
      </c>
      <c r="J500" s="6">
        <f t="shared" si="2"/>
        <v>0.009166356992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7">
        <v>499.0</v>
      </c>
      <c r="B501" s="7">
        <v>28816.0</v>
      </c>
      <c r="C501" s="7">
        <v>2.0</v>
      </c>
      <c r="D501" s="7">
        <v>49.0</v>
      </c>
      <c r="E501" s="8" t="s">
        <v>465</v>
      </c>
      <c r="F501" s="9">
        <f>IFERROR(__xludf.DUMMYFUNCTION("SPLIT(E501, "","")"),115.0)</f>
        <v>115</v>
      </c>
      <c r="G501" s="10">
        <f>IFERROR(__xludf.DUMMYFUNCTION("""COMPUTED_VALUE"""),161.0)</f>
        <v>161</v>
      </c>
      <c r="H501" s="10"/>
      <c r="I501" s="10">
        <f t="shared" si="1"/>
        <v>276</v>
      </c>
      <c r="J501" s="6">
        <f t="shared" si="2"/>
        <v>0.009578012215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7">
        <v>500.0</v>
      </c>
      <c r="B502" s="7">
        <v>26870.0</v>
      </c>
      <c r="C502" s="7">
        <v>3.0</v>
      </c>
      <c r="D502" s="7">
        <v>42.0</v>
      </c>
      <c r="E502" s="8" t="s">
        <v>466</v>
      </c>
      <c r="F502" s="9">
        <f>IFERROR(__xludf.DUMMYFUNCTION("SPLIT(E502, "","")"),95.0)</f>
        <v>95</v>
      </c>
      <c r="G502" s="10">
        <f>IFERROR(__xludf.DUMMYFUNCTION("""COMPUTED_VALUE"""),64.0)</f>
        <v>64</v>
      </c>
      <c r="H502" s="10">
        <f>IFERROR(__xludf.DUMMYFUNCTION("""COMPUTED_VALUE"""),125.0)</f>
        <v>125</v>
      </c>
      <c r="I502" s="10">
        <f t="shared" si="1"/>
        <v>284</v>
      </c>
      <c r="J502" s="6">
        <f t="shared" si="2"/>
        <v>0.01056940826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7">
        <v>501.0</v>
      </c>
      <c r="B503" s="7">
        <v>462.0</v>
      </c>
      <c r="C503" s="7">
        <v>1.0</v>
      </c>
      <c r="D503" s="7">
        <v>4.0</v>
      </c>
      <c r="E503" s="11" t="s">
        <v>467</v>
      </c>
      <c r="F503" s="9">
        <f>IFERROR(__xludf.DUMMYFUNCTION("SPLIT(E503, "","")"),5.0)</f>
        <v>5</v>
      </c>
      <c r="G503" s="10"/>
      <c r="H503" s="10"/>
      <c r="I503" s="10">
        <f t="shared" si="1"/>
        <v>5</v>
      </c>
      <c r="J503" s="6">
        <f t="shared" si="2"/>
        <v>0.01082251082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7">
        <v>502.0</v>
      </c>
      <c r="B504" s="7">
        <v>681.0</v>
      </c>
      <c r="C504" s="7">
        <v>1.0</v>
      </c>
      <c r="D504" s="7">
        <v>4.0</v>
      </c>
      <c r="E504" s="11" t="s">
        <v>468</v>
      </c>
      <c r="F504" s="9">
        <f>IFERROR(__xludf.DUMMYFUNCTION("SPLIT(E504, "","")"),10.0)</f>
        <v>10</v>
      </c>
      <c r="G504" s="10"/>
      <c r="H504" s="10"/>
      <c r="I504" s="10">
        <f t="shared" si="1"/>
        <v>10</v>
      </c>
      <c r="J504" s="6">
        <f t="shared" si="2"/>
        <v>0.01468428781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7">
        <v>503.0</v>
      </c>
      <c r="B505" s="7">
        <v>1168.0</v>
      </c>
      <c r="C505" s="7">
        <v>1.0</v>
      </c>
      <c r="D505" s="7">
        <v>4.0</v>
      </c>
      <c r="E505" s="11" t="s">
        <v>469</v>
      </c>
      <c r="F505" s="9">
        <f>IFERROR(__xludf.DUMMYFUNCTION("SPLIT(E505, "","")"),15.0)</f>
        <v>15</v>
      </c>
      <c r="G505" s="10"/>
      <c r="H505" s="10"/>
      <c r="I505" s="10">
        <f t="shared" si="1"/>
        <v>15</v>
      </c>
      <c r="J505" s="6">
        <f t="shared" si="2"/>
        <v>0.01284246575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7">
        <v>504.0</v>
      </c>
      <c r="B506" s="7">
        <v>1047.0</v>
      </c>
      <c r="C506" s="7">
        <v>1.0</v>
      </c>
      <c r="D506" s="7">
        <v>4.0</v>
      </c>
      <c r="E506" s="11" t="s">
        <v>470</v>
      </c>
      <c r="F506" s="9">
        <f>IFERROR(__xludf.DUMMYFUNCTION("SPLIT(E506, "","")"),20.0)</f>
        <v>20</v>
      </c>
      <c r="G506" s="10"/>
      <c r="H506" s="10"/>
      <c r="I506" s="10">
        <f t="shared" si="1"/>
        <v>20</v>
      </c>
      <c r="J506" s="6">
        <f t="shared" si="2"/>
        <v>0.01910219675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7">
        <v>505.0</v>
      </c>
      <c r="B507" s="7">
        <v>1866.0</v>
      </c>
      <c r="C507" s="7">
        <v>1.0</v>
      </c>
      <c r="D507" s="7">
        <v>4.0</v>
      </c>
      <c r="E507" s="11" t="s">
        <v>471</v>
      </c>
      <c r="F507" s="9">
        <f>IFERROR(__xludf.DUMMYFUNCTION("SPLIT(E507, "","")"),25.0)</f>
        <v>25</v>
      </c>
      <c r="G507" s="10"/>
      <c r="H507" s="10"/>
      <c r="I507" s="10">
        <f t="shared" si="1"/>
        <v>25</v>
      </c>
      <c r="J507" s="6">
        <f t="shared" si="2"/>
        <v>0.01339764202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7" t="s">
        <v>112</v>
      </c>
      <c r="B508" s="7">
        <v>3238.0</v>
      </c>
      <c r="C508" s="7">
        <v>2.0</v>
      </c>
      <c r="D508" s="7">
        <v>42.0</v>
      </c>
      <c r="E508" s="13" t="s">
        <v>472</v>
      </c>
      <c r="F508" s="9">
        <f>IFERROR(__xludf.DUMMYFUNCTION("SPLIT(E508, "","")"),26.0)</f>
        <v>26</v>
      </c>
      <c r="G508" s="10">
        <f>IFERROR(__xludf.DUMMYFUNCTION("""COMPUTED_VALUE"""),8.0)</f>
        <v>8</v>
      </c>
      <c r="H508" s="10"/>
      <c r="I508" s="10">
        <f t="shared" si="1"/>
        <v>34</v>
      </c>
      <c r="J508" s="6">
        <f t="shared" si="2"/>
        <v>0.01050030883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7" t="s">
        <v>113</v>
      </c>
      <c r="B509" s="14">
        <v>6989.0</v>
      </c>
      <c r="C509" s="7">
        <v>1.0</v>
      </c>
      <c r="D509" s="7">
        <v>15.0</v>
      </c>
      <c r="E509" s="13">
        <v>99.0</v>
      </c>
      <c r="F509" s="9">
        <f>IFERROR(__xludf.DUMMYFUNCTION("SPLIT(E509, "","")"),99.0)</f>
        <v>99</v>
      </c>
      <c r="G509" s="10"/>
      <c r="H509" s="10"/>
      <c r="I509" s="10">
        <f t="shared" si="1"/>
        <v>99</v>
      </c>
      <c r="J509" s="6">
        <f t="shared" si="2"/>
        <v>0.01416511661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7" t="s">
        <v>115</v>
      </c>
      <c r="B510" s="14">
        <v>7098.0</v>
      </c>
      <c r="C510" s="7">
        <v>2.0</v>
      </c>
      <c r="D510" s="7">
        <v>8.0</v>
      </c>
      <c r="E510" s="13" t="s">
        <v>473</v>
      </c>
      <c r="F510" s="9">
        <f>IFERROR(__xludf.DUMMYFUNCTION("SPLIT(E510, "","")"),60.0)</f>
        <v>60</v>
      </c>
      <c r="G510" s="10">
        <f>IFERROR(__xludf.DUMMYFUNCTION("""COMPUTED_VALUE"""),30.0)</f>
        <v>30</v>
      </c>
      <c r="H510" s="10"/>
      <c r="I510" s="10">
        <f t="shared" si="1"/>
        <v>90</v>
      </c>
      <c r="J510" s="6">
        <f t="shared" si="2"/>
        <v>0.01267962806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7" t="s">
        <v>116</v>
      </c>
      <c r="B511" s="14">
        <v>10443.0</v>
      </c>
      <c r="C511" s="7">
        <v>1.0</v>
      </c>
      <c r="D511" s="7">
        <v>45.0</v>
      </c>
      <c r="E511" s="13">
        <v>170.0</v>
      </c>
      <c r="F511" s="9">
        <f>IFERROR(__xludf.DUMMYFUNCTION("SPLIT(E511, "","")"),170.0)</f>
        <v>170</v>
      </c>
      <c r="G511" s="10"/>
      <c r="H511" s="10"/>
      <c r="I511" s="10">
        <f t="shared" si="1"/>
        <v>170</v>
      </c>
      <c r="J511" s="6">
        <f t="shared" si="2"/>
        <v>0.01627884707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7" t="s">
        <v>117</v>
      </c>
      <c r="B512" s="14">
        <v>11518.0</v>
      </c>
      <c r="C512" s="7">
        <v>3.0</v>
      </c>
      <c r="D512" s="7">
        <v>40.0</v>
      </c>
      <c r="E512" s="13" t="s">
        <v>474</v>
      </c>
      <c r="F512" s="9">
        <f>IFERROR(__xludf.DUMMYFUNCTION("SPLIT(E512, "","")"),7.0)</f>
        <v>7</v>
      </c>
      <c r="G512" s="10">
        <f>IFERROR(__xludf.DUMMYFUNCTION("""COMPUTED_VALUE"""),94.0)</f>
        <v>94</v>
      </c>
      <c r="H512" s="10">
        <f>IFERROR(__xludf.DUMMYFUNCTION("""COMPUTED_VALUE"""),36.0)</f>
        <v>36</v>
      </c>
      <c r="I512" s="10">
        <f t="shared" si="1"/>
        <v>137</v>
      </c>
      <c r="J512" s="6">
        <f t="shared" si="2"/>
        <v>0.01189442612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7" t="s">
        <v>119</v>
      </c>
      <c r="B513" s="14">
        <v>11548.0</v>
      </c>
      <c r="C513" s="7">
        <v>2.0</v>
      </c>
      <c r="D513" s="7">
        <v>12.0</v>
      </c>
      <c r="E513" s="13" t="s">
        <v>475</v>
      </c>
      <c r="F513" s="9">
        <f>IFERROR(__xludf.DUMMYFUNCTION("SPLIT(E513, "","")"),132.0)</f>
        <v>132</v>
      </c>
      <c r="G513" s="10">
        <f>IFERROR(__xludf.DUMMYFUNCTION("""COMPUTED_VALUE"""),26.0)</f>
        <v>26</v>
      </c>
      <c r="H513" s="10"/>
      <c r="I513" s="10">
        <f t="shared" si="1"/>
        <v>158</v>
      </c>
      <c r="J513" s="6">
        <f t="shared" si="2"/>
        <v>0.01368202286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7" t="s">
        <v>120</v>
      </c>
      <c r="B514" s="14">
        <v>14637.0</v>
      </c>
      <c r="C514" s="7">
        <v>1.0</v>
      </c>
      <c r="D514" s="7">
        <v>35.0</v>
      </c>
      <c r="E514" s="13">
        <v>140.0</v>
      </c>
      <c r="F514" s="9">
        <f>IFERROR(__xludf.DUMMYFUNCTION("SPLIT(E514, "","")"),140.0)</f>
        <v>140</v>
      </c>
      <c r="G514" s="10"/>
      <c r="H514" s="10"/>
      <c r="I514" s="10">
        <f t="shared" si="1"/>
        <v>140</v>
      </c>
      <c r="J514" s="6">
        <f t="shared" si="2"/>
        <v>0.00956480153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7" t="s">
        <v>122</v>
      </c>
      <c r="B515" s="14">
        <v>19498.0</v>
      </c>
      <c r="C515" s="7">
        <v>2.0</v>
      </c>
      <c r="D515" s="7">
        <v>40.0</v>
      </c>
      <c r="E515" s="13" t="s">
        <v>476</v>
      </c>
      <c r="F515" s="9">
        <f>IFERROR(__xludf.DUMMYFUNCTION("SPLIT(E515, "","")"),158.0)</f>
        <v>158</v>
      </c>
      <c r="G515" s="10">
        <f>IFERROR(__xludf.DUMMYFUNCTION("""COMPUTED_VALUE"""),30.0)</f>
        <v>30</v>
      </c>
      <c r="H515" s="10"/>
      <c r="I515" s="10">
        <f t="shared" si="1"/>
        <v>188</v>
      </c>
      <c r="J515" s="6">
        <f t="shared" si="2"/>
        <v>0.009642014566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7" t="s">
        <v>123</v>
      </c>
      <c r="B516" s="14">
        <v>20247.0</v>
      </c>
      <c r="C516" s="7">
        <v>1.0</v>
      </c>
      <c r="D516" s="7">
        <v>36.0</v>
      </c>
      <c r="E516" s="13">
        <v>313.0</v>
      </c>
      <c r="F516" s="9">
        <f>IFERROR(__xludf.DUMMYFUNCTION("SPLIT(E516, "","")"),313.0)</f>
        <v>313</v>
      </c>
      <c r="G516" s="10"/>
      <c r="H516" s="10"/>
      <c r="I516" s="10">
        <f t="shared" si="1"/>
        <v>313</v>
      </c>
      <c r="J516" s="6">
        <f t="shared" si="2"/>
        <v>0.01545908036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7" t="s">
        <v>124</v>
      </c>
      <c r="B517" s="14">
        <v>21709.0</v>
      </c>
      <c r="C517" s="7">
        <v>3.0</v>
      </c>
      <c r="D517" s="7">
        <v>75.0</v>
      </c>
      <c r="E517" s="13" t="s">
        <v>477</v>
      </c>
      <c r="F517" s="9">
        <f>IFERROR(__xludf.DUMMYFUNCTION("SPLIT(E517, "","")"),136.0)</f>
        <v>136</v>
      </c>
      <c r="G517" s="10">
        <f>IFERROR(__xludf.DUMMYFUNCTION("""COMPUTED_VALUE"""),74.0)</f>
        <v>74</v>
      </c>
      <c r="H517" s="10">
        <f>IFERROR(__xludf.DUMMYFUNCTION("""COMPUTED_VALUE"""),25.0)</f>
        <v>25</v>
      </c>
      <c r="I517" s="10">
        <f t="shared" si="1"/>
        <v>235</v>
      </c>
      <c r="J517" s="6">
        <f t="shared" si="2"/>
        <v>0.01082500345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15"/>
      <c r="B518" s="16"/>
      <c r="C518" s="15"/>
      <c r="D518" s="15"/>
      <c r="F518" s="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5"/>
      <c r="B519" s="15"/>
      <c r="C519" s="15"/>
      <c r="D519" s="15"/>
      <c r="F519" s="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15"/>
      <c r="B520" s="15"/>
      <c r="C520" s="15"/>
      <c r="D520" s="15"/>
      <c r="F520" s="5"/>
      <c r="G520" s="6"/>
      <c r="H520" s="6"/>
      <c r="I520" s="6"/>
      <c r="J520" s="6">
        <f>MIN(J2:J517)</f>
        <v>0.004965712934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5"/>
      <c r="B521" s="15"/>
      <c r="C521" s="15"/>
      <c r="D521" s="15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15"/>
      <c r="B522" s="15"/>
      <c r="C522" s="15"/>
      <c r="D522" s="15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5"/>
      <c r="B523" s="15"/>
      <c r="C523" s="15"/>
      <c r="D523" s="15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15"/>
      <c r="B524" s="15"/>
      <c r="C524" s="15"/>
      <c r="D524" s="15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5"/>
      <c r="B525" s="15"/>
      <c r="C525" s="15"/>
      <c r="D525" s="15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15"/>
      <c r="B526" s="15"/>
      <c r="C526" s="15"/>
      <c r="D526" s="15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5"/>
      <c r="B527" s="15"/>
      <c r="C527" s="15"/>
      <c r="D527" s="15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15"/>
      <c r="B528" s="15"/>
      <c r="C528" s="15"/>
      <c r="D528" s="15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5"/>
      <c r="B529" s="15"/>
      <c r="C529" s="15"/>
      <c r="D529" s="15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15"/>
      <c r="B530" s="15"/>
      <c r="C530" s="15"/>
      <c r="D530" s="15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5"/>
      <c r="B531" s="15"/>
      <c r="C531" s="15"/>
      <c r="D531" s="15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15"/>
      <c r="B532" s="15"/>
      <c r="C532" s="15"/>
      <c r="D532" s="15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5"/>
      <c r="B533" s="15"/>
      <c r="C533" s="15"/>
      <c r="D533" s="15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15"/>
      <c r="B534" s="15"/>
      <c r="C534" s="15"/>
      <c r="D534" s="15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5"/>
      <c r="B535" s="15"/>
      <c r="C535" s="15"/>
      <c r="D535" s="15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15"/>
      <c r="B536" s="15"/>
      <c r="C536" s="15"/>
      <c r="D536" s="15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5"/>
      <c r="B537" s="15"/>
      <c r="C537" s="15"/>
      <c r="D537" s="15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15"/>
      <c r="B538" s="15"/>
      <c r="C538" s="15"/>
      <c r="D538" s="15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5"/>
      <c r="B539" s="15"/>
      <c r="C539" s="15"/>
      <c r="D539" s="15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15"/>
      <c r="B540" s="15"/>
      <c r="C540" s="15"/>
      <c r="D540" s="15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5"/>
      <c r="B541" s="15"/>
      <c r="C541" s="15"/>
      <c r="D541" s="15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15"/>
      <c r="B542" s="15"/>
      <c r="C542" s="15"/>
      <c r="D542" s="15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5"/>
      <c r="B543" s="15"/>
      <c r="C543" s="15"/>
      <c r="D543" s="15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15"/>
      <c r="B544" s="15"/>
      <c r="C544" s="15"/>
      <c r="D544" s="15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5"/>
      <c r="B545" s="15"/>
      <c r="C545" s="15"/>
      <c r="D545" s="15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15"/>
      <c r="B546" s="15"/>
      <c r="C546" s="15"/>
      <c r="D546" s="15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5"/>
      <c r="B547" s="15"/>
      <c r="C547" s="15"/>
      <c r="D547" s="15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15"/>
      <c r="B548" s="15"/>
      <c r="C548" s="15"/>
      <c r="D548" s="15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5"/>
      <c r="B549" s="15"/>
      <c r="C549" s="15"/>
      <c r="D549" s="15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15"/>
      <c r="B550" s="15"/>
      <c r="C550" s="15"/>
      <c r="D550" s="15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5"/>
      <c r="B551" s="15"/>
      <c r="C551" s="15"/>
      <c r="D551" s="15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15"/>
      <c r="B552" s="15"/>
      <c r="C552" s="15"/>
      <c r="D552" s="15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5"/>
      <c r="B553" s="15"/>
      <c r="C553" s="15"/>
      <c r="D553" s="15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15"/>
      <c r="B554" s="15"/>
      <c r="C554" s="15"/>
      <c r="D554" s="15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5"/>
      <c r="B555" s="15"/>
      <c r="C555" s="15"/>
      <c r="D555" s="15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15"/>
      <c r="B556" s="15"/>
      <c r="C556" s="15"/>
      <c r="D556" s="15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5"/>
      <c r="B557" s="15"/>
      <c r="C557" s="15"/>
      <c r="D557" s="15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15"/>
      <c r="B558" s="15"/>
      <c r="C558" s="15"/>
      <c r="D558" s="15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5"/>
      <c r="B559" s="15"/>
      <c r="C559" s="15"/>
      <c r="D559" s="15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15"/>
      <c r="B560" s="15"/>
      <c r="C560" s="15"/>
      <c r="D560" s="15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5"/>
      <c r="B561" s="15"/>
      <c r="C561" s="15"/>
      <c r="D561" s="15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15"/>
      <c r="B562" s="15"/>
      <c r="C562" s="15"/>
      <c r="D562" s="15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5"/>
      <c r="B563" s="15"/>
      <c r="C563" s="15"/>
      <c r="D563" s="15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15"/>
      <c r="B564" s="15"/>
      <c r="C564" s="15"/>
      <c r="D564" s="15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5"/>
      <c r="B565" s="15"/>
      <c r="C565" s="15"/>
      <c r="D565" s="15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15"/>
      <c r="B566" s="15"/>
      <c r="C566" s="15"/>
      <c r="D566" s="15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5"/>
      <c r="B567" s="15"/>
      <c r="C567" s="15"/>
      <c r="D567" s="15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15"/>
      <c r="B568" s="15"/>
      <c r="C568" s="15"/>
      <c r="D568" s="15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5"/>
      <c r="B569" s="15"/>
      <c r="C569" s="15"/>
      <c r="D569" s="15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15"/>
      <c r="B570" s="15"/>
      <c r="C570" s="15"/>
      <c r="D570" s="15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5"/>
      <c r="B571" s="15"/>
      <c r="C571" s="15"/>
      <c r="D571" s="15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15"/>
      <c r="B572" s="15"/>
      <c r="C572" s="15"/>
      <c r="D572" s="15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5"/>
      <c r="B573" s="15"/>
      <c r="C573" s="15"/>
      <c r="D573" s="15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15"/>
      <c r="B574" s="15"/>
      <c r="C574" s="15"/>
      <c r="D574" s="15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5"/>
      <c r="B575" s="15"/>
      <c r="C575" s="15"/>
      <c r="D575" s="15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15"/>
      <c r="B576" s="15"/>
      <c r="C576" s="15"/>
      <c r="D576" s="15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5"/>
      <c r="B577" s="15"/>
      <c r="C577" s="15"/>
      <c r="D577" s="15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15"/>
      <c r="B578" s="15"/>
      <c r="C578" s="15"/>
      <c r="D578" s="15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5"/>
      <c r="B579" s="15"/>
      <c r="C579" s="15"/>
      <c r="D579" s="15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15"/>
      <c r="B580" s="15"/>
      <c r="C580" s="15"/>
      <c r="D580" s="15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5"/>
      <c r="B581" s="15"/>
      <c r="C581" s="15"/>
      <c r="D581" s="15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15"/>
      <c r="B582" s="15"/>
      <c r="C582" s="15"/>
      <c r="D582" s="15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5"/>
      <c r="B583" s="15"/>
      <c r="C583" s="15"/>
      <c r="D583" s="15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15"/>
      <c r="B584" s="15"/>
      <c r="C584" s="15"/>
      <c r="D584" s="15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5"/>
      <c r="B585" s="15"/>
      <c r="C585" s="15"/>
      <c r="D585" s="15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15"/>
      <c r="B586" s="15"/>
      <c r="C586" s="15"/>
      <c r="D586" s="15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5"/>
      <c r="B587" s="15"/>
      <c r="C587" s="15"/>
      <c r="D587" s="15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15"/>
      <c r="B588" s="15"/>
      <c r="C588" s="15"/>
      <c r="D588" s="15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5"/>
      <c r="B589" s="15"/>
      <c r="C589" s="15"/>
      <c r="D589" s="15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15"/>
      <c r="B590" s="15"/>
      <c r="C590" s="15"/>
      <c r="D590" s="15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5"/>
      <c r="B591" s="15"/>
      <c r="C591" s="15"/>
      <c r="D591" s="15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15"/>
      <c r="B592" s="15"/>
      <c r="C592" s="15"/>
      <c r="D592" s="15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5"/>
      <c r="B593" s="15"/>
      <c r="C593" s="15"/>
      <c r="D593" s="15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15"/>
      <c r="B594" s="15"/>
      <c r="C594" s="15"/>
      <c r="D594" s="15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5"/>
      <c r="B595" s="15"/>
      <c r="C595" s="15"/>
      <c r="D595" s="15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15"/>
      <c r="B596" s="15"/>
      <c r="C596" s="15"/>
      <c r="D596" s="15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5"/>
      <c r="B597" s="15"/>
      <c r="C597" s="15"/>
      <c r="D597" s="15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15"/>
      <c r="B598" s="15"/>
      <c r="C598" s="15"/>
      <c r="D598" s="15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5"/>
      <c r="B599" s="15"/>
      <c r="C599" s="15"/>
      <c r="D599" s="15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15"/>
      <c r="B600" s="15"/>
      <c r="C600" s="15"/>
      <c r="D600" s="15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5"/>
      <c r="B601" s="15"/>
      <c r="C601" s="15"/>
      <c r="D601" s="15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15"/>
      <c r="B602" s="15"/>
      <c r="C602" s="15"/>
      <c r="D602" s="15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5"/>
      <c r="B603" s="15"/>
      <c r="C603" s="15"/>
      <c r="D603" s="15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15"/>
      <c r="B604" s="15"/>
      <c r="C604" s="15"/>
      <c r="D604" s="15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5"/>
      <c r="B605" s="15"/>
      <c r="C605" s="15"/>
      <c r="D605" s="15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15"/>
      <c r="B606" s="15"/>
      <c r="C606" s="15"/>
      <c r="D606" s="15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5"/>
      <c r="B607" s="15"/>
      <c r="C607" s="15"/>
      <c r="D607" s="15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15"/>
      <c r="B608" s="15"/>
      <c r="C608" s="15"/>
      <c r="D608" s="15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5"/>
      <c r="B609" s="15"/>
      <c r="C609" s="15"/>
      <c r="D609" s="15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15"/>
      <c r="B610" s="15"/>
      <c r="C610" s="15"/>
      <c r="D610" s="15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5"/>
      <c r="B611" s="15"/>
      <c r="C611" s="15"/>
      <c r="D611" s="15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15"/>
      <c r="B612" s="15"/>
      <c r="C612" s="15"/>
      <c r="D612" s="15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5"/>
      <c r="B613" s="15"/>
      <c r="C613" s="15"/>
      <c r="D613" s="15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15"/>
      <c r="B614" s="15"/>
      <c r="C614" s="15"/>
      <c r="D614" s="15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5"/>
      <c r="B615" s="15"/>
      <c r="C615" s="15"/>
      <c r="D615" s="15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15"/>
      <c r="B616" s="15"/>
      <c r="C616" s="15"/>
      <c r="D616" s="15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5"/>
      <c r="B617" s="15"/>
      <c r="C617" s="15"/>
      <c r="D617" s="15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15"/>
      <c r="B618" s="15"/>
      <c r="C618" s="15"/>
      <c r="D618" s="15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5"/>
      <c r="B619" s="15"/>
      <c r="C619" s="15"/>
      <c r="D619" s="15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15"/>
      <c r="B620" s="15"/>
      <c r="C620" s="15"/>
      <c r="D620" s="15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5"/>
      <c r="B621" s="15"/>
      <c r="C621" s="15"/>
      <c r="D621" s="15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15"/>
      <c r="B622" s="15"/>
      <c r="C622" s="15"/>
      <c r="D622" s="15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5"/>
      <c r="B623" s="15"/>
      <c r="C623" s="15"/>
      <c r="D623" s="15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15"/>
      <c r="B624" s="15"/>
      <c r="C624" s="15"/>
      <c r="D624" s="15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5"/>
      <c r="B625" s="15"/>
      <c r="C625" s="15"/>
      <c r="D625" s="15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15"/>
      <c r="B626" s="15"/>
      <c r="C626" s="15"/>
      <c r="D626" s="15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5"/>
      <c r="B627" s="15"/>
      <c r="C627" s="15"/>
      <c r="D627" s="15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15"/>
      <c r="B628" s="15"/>
      <c r="C628" s="15"/>
      <c r="D628" s="15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5"/>
      <c r="B629" s="15"/>
      <c r="C629" s="15"/>
      <c r="D629" s="15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15"/>
      <c r="B630" s="15"/>
      <c r="C630" s="15"/>
      <c r="D630" s="15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5"/>
      <c r="B631" s="15"/>
      <c r="C631" s="15"/>
      <c r="D631" s="15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15"/>
      <c r="B632" s="15"/>
      <c r="C632" s="15"/>
      <c r="D632" s="15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5"/>
      <c r="B633" s="15"/>
      <c r="C633" s="15"/>
      <c r="D633" s="15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15"/>
      <c r="B634" s="15"/>
      <c r="C634" s="15"/>
      <c r="D634" s="15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5"/>
      <c r="B635" s="15"/>
      <c r="C635" s="15"/>
      <c r="D635" s="15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15"/>
      <c r="B636" s="15"/>
      <c r="C636" s="15"/>
      <c r="D636" s="15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5"/>
      <c r="B637" s="15"/>
      <c r="C637" s="15"/>
      <c r="D637" s="15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15"/>
      <c r="B638" s="15"/>
      <c r="C638" s="15"/>
      <c r="D638" s="15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5"/>
      <c r="B639" s="15"/>
      <c r="C639" s="15"/>
      <c r="D639" s="15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15"/>
      <c r="B640" s="15"/>
      <c r="C640" s="15"/>
      <c r="D640" s="15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5"/>
      <c r="B641" s="15"/>
      <c r="C641" s="15"/>
      <c r="D641" s="15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15"/>
      <c r="B642" s="15"/>
      <c r="C642" s="15"/>
      <c r="D642" s="15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5"/>
      <c r="B643" s="15"/>
      <c r="C643" s="15"/>
      <c r="D643" s="15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15"/>
      <c r="B644" s="15"/>
      <c r="C644" s="15"/>
      <c r="D644" s="15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5"/>
      <c r="B645" s="15"/>
      <c r="C645" s="15"/>
      <c r="D645" s="15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15"/>
      <c r="B646" s="15"/>
      <c r="C646" s="15"/>
      <c r="D646" s="15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5"/>
      <c r="B647" s="15"/>
      <c r="C647" s="15"/>
      <c r="D647" s="15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15"/>
      <c r="B648" s="15"/>
      <c r="C648" s="15"/>
      <c r="D648" s="15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5"/>
      <c r="B649" s="15"/>
      <c r="C649" s="15"/>
      <c r="D649" s="15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15"/>
      <c r="B650" s="15"/>
      <c r="C650" s="15"/>
      <c r="D650" s="15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5"/>
      <c r="B651" s="15"/>
      <c r="C651" s="15"/>
      <c r="D651" s="15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15"/>
      <c r="B652" s="15"/>
      <c r="C652" s="15"/>
      <c r="D652" s="15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5"/>
      <c r="B653" s="15"/>
      <c r="C653" s="15"/>
      <c r="D653" s="15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15"/>
      <c r="B654" s="15"/>
      <c r="C654" s="15"/>
      <c r="D654" s="15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5"/>
      <c r="B655" s="15"/>
      <c r="C655" s="15"/>
      <c r="D655" s="15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15"/>
      <c r="B656" s="15"/>
      <c r="C656" s="15"/>
      <c r="D656" s="15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5"/>
      <c r="B657" s="15"/>
      <c r="C657" s="15"/>
      <c r="D657" s="15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15"/>
      <c r="B658" s="15"/>
      <c r="C658" s="15"/>
      <c r="D658" s="15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5"/>
      <c r="B659" s="15"/>
      <c r="C659" s="15"/>
      <c r="D659" s="15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15"/>
      <c r="B660" s="15"/>
      <c r="C660" s="15"/>
      <c r="D660" s="15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5"/>
      <c r="B661" s="15"/>
      <c r="C661" s="15"/>
      <c r="D661" s="15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15"/>
      <c r="B662" s="15"/>
      <c r="C662" s="15"/>
      <c r="D662" s="15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5"/>
      <c r="B663" s="15"/>
      <c r="C663" s="15"/>
      <c r="D663" s="15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15"/>
      <c r="B664" s="15"/>
      <c r="C664" s="15"/>
      <c r="D664" s="15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5"/>
      <c r="B665" s="15"/>
      <c r="C665" s="15"/>
      <c r="D665" s="15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15"/>
      <c r="B666" s="15"/>
      <c r="C666" s="15"/>
      <c r="D666" s="15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5"/>
      <c r="B667" s="15"/>
      <c r="C667" s="15"/>
      <c r="D667" s="15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15"/>
      <c r="B668" s="15"/>
      <c r="C668" s="15"/>
      <c r="D668" s="15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5"/>
      <c r="B669" s="15"/>
      <c r="C669" s="15"/>
      <c r="D669" s="15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15"/>
      <c r="B670" s="15"/>
      <c r="C670" s="15"/>
      <c r="D670" s="15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5"/>
      <c r="B671" s="15"/>
      <c r="C671" s="15"/>
      <c r="D671" s="15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15"/>
      <c r="B672" s="15"/>
      <c r="C672" s="15"/>
      <c r="D672" s="15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5"/>
      <c r="B673" s="15"/>
      <c r="C673" s="15"/>
      <c r="D673" s="15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15"/>
      <c r="B674" s="15"/>
      <c r="C674" s="15"/>
      <c r="D674" s="15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5"/>
      <c r="B675" s="15"/>
      <c r="C675" s="15"/>
      <c r="D675" s="15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15"/>
      <c r="B676" s="15"/>
      <c r="C676" s="15"/>
      <c r="D676" s="15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5"/>
      <c r="B677" s="15"/>
      <c r="C677" s="15"/>
      <c r="D677" s="15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15"/>
      <c r="B678" s="15"/>
      <c r="C678" s="15"/>
      <c r="D678" s="15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5"/>
      <c r="B679" s="15"/>
      <c r="C679" s="15"/>
      <c r="D679" s="15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15"/>
      <c r="B680" s="15"/>
      <c r="C680" s="15"/>
      <c r="D680" s="15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5"/>
      <c r="B681" s="15"/>
      <c r="C681" s="15"/>
      <c r="D681" s="15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15"/>
      <c r="B682" s="15"/>
      <c r="C682" s="15"/>
      <c r="D682" s="15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5"/>
      <c r="B683" s="15"/>
      <c r="C683" s="15"/>
      <c r="D683" s="15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15"/>
      <c r="B684" s="15"/>
      <c r="C684" s="15"/>
      <c r="D684" s="15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5"/>
      <c r="B685" s="15"/>
      <c r="C685" s="15"/>
      <c r="D685" s="15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15"/>
      <c r="B686" s="15"/>
      <c r="C686" s="15"/>
      <c r="D686" s="15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5"/>
      <c r="B687" s="15"/>
      <c r="C687" s="15"/>
      <c r="D687" s="15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15"/>
      <c r="B688" s="15"/>
      <c r="C688" s="15"/>
      <c r="D688" s="15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5"/>
      <c r="B689" s="15"/>
      <c r="C689" s="15"/>
      <c r="D689" s="15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15"/>
      <c r="B690" s="15"/>
      <c r="C690" s="15"/>
      <c r="D690" s="15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5"/>
      <c r="B691" s="15"/>
      <c r="C691" s="15"/>
      <c r="D691" s="15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15"/>
      <c r="B692" s="15"/>
      <c r="C692" s="15"/>
      <c r="D692" s="15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5"/>
      <c r="B693" s="15"/>
      <c r="C693" s="15"/>
      <c r="D693" s="15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15"/>
      <c r="B694" s="15"/>
      <c r="C694" s="15"/>
      <c r="D694" s="15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5"/>
      <c r="B695" s="15"/>
      <c r="C695" s="15"/>
      <c r="D695" s="15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15"/>
      <c r="B696" s="15"/>
      <c r="C696" s="15"/>
      <c r="D696" s="15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5"/>
      <c r="B697" s="15"/>
      <c r="C697" s="15"/>
      <c r="D697" s="15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15"/>
      <c r="B698" s="15"/>
      <c r="C698" s="15"/>
      <c r="D698" s="15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5"/>
      <c r="B699" s="15"/>
      <c r="C699" s="15"/>
      <c r="D699" s="15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15"/>
      <c r="B700" s="15"/>
      <c r="C700" s="15"/>
      <c r="D700" s="15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5"/>
      <c r="B701" s="15"/>
      <c r="C701" s="15"/>
      <c r="D701" s="15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15"/>
      <c r="B702" s="15"/>
      <c r="C702" s="15"/>
      <c r="D702" s="15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5"/>
      <c r="B703" s="15"/>
      <c r="C703" s="15"/>
      <c r="D703" s="15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15"/>
      <c r="B704" s="15"/>
      <c r="C704" s="15"/>
      <c r="D704" s="15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5"/>
      <c r="B705" s="15"/>
      <c r="C705" s="15"/>
      <c r="D705" s="15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15"/>
      <c r="B706" s="15"/>
      <c r="C706" s="15"/>
      <c r="D706" s="15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5"/>
      <c r="B707" s="15"/>
      <c r="C707" s="15"/>
      <c r="D707" s="15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15"/>
      <c r="B708" s="15"/>
      <c r="C708" s="15"/>
      <c r="D708" s="15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5"/>
      <c r="B709" s="15"/>
      <c r="C709" s="15"/>
      <c r="D709" s="15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15"/>
      <c r="B710" s="15"/>
      <c r="C710" s="15"/>
      <c r="D710" s="15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5"/>
      <c r="B711" s="15"/>
      <c r="C711" s="15"/>
      <c r="D711" s="15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15"/>
      <c r="B712" s="15"/>
      <c r="C712" s="15"/>
      <c r="D712" s="15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5"/>
      <c r="B713" s="15"/>
      <c r="C713" s="15"/>
      <c r="D713" s="15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15"/>
      <c r="B714" s="15"/>
      <c r="C714" s="15"/>
      <c r="D714" s="15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5"/>
      <c r="B715" s="15"/>
      <c r="C715" s="15"/>
      <c r="D715" s="15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15"/>
      <c r="B716" s="15"/>
      <c r="C716" s="15"/>
      <c r="D716" s="15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5"/>
      <c r="B717" s="15"/>
      <c r="C717" s="15"/>
      <c r="D717" s="15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15"/>
      <c r="B718" s="15"/>
      <c r="C718" s="15"/>
      <c r="D718" s="15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5"/>
      <c r="B719" s="15"/>
      <c r="C719" s="15"/>
      <c r="D719" s="15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15"/>
      <c r="B720" s="15"/>
      <c r="C720" s="15"/>
      <c r="D720" s="15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5"/>
      <c r="B721" s="15"/>
      <c r="C721" s="15"/>
      <c r="D721" s="15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15"/>
      <c r="B722" s="15"/>
      <c r="C722" s="15"/>
      <c r="D722" s="15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5"/>
      <c r="B723" s="15"/>
      <c r="C723" s="15"/>
      <c r="D723" s="15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15"/>
      <c r="B724" s="15"/>
      <c r="C724" s="15"/>
      <c r="D724" s="15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5"/>
      <c r="B725" s="15"/>
      <c r="C725" s="15"/>
      <c r="D725" s="15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15"/>
      <c r="B726" s="15"/>
      <c r="C726" s="15"/>
      <c r="D726" s="15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5"/>
      <c r="B727" s="15"/>
      <c r="C727" s="15"/>
      <c r="D727" s="15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15"/>
      <c r="B728" s="15"/>
      <c r="C728" s="15"/>
      <c r="D728" s="15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5"/>
      <c r="B729" s="15"/>
      <c r="C729" s="15"/>
      <c r="D729" s="15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15"/>
      <c r="B730" s="15"/>
      <c r="C730" s="15"/>
      <c r="D730" s="15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5"/>
      <c r="B731" s="15"/>
      <c r="C731" s="15"/>
      <c r="D731" s="15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15"/>
      <c r="B732" s="15"/>
      <c r="C732" s="15"/>
      <c r="D732" s="15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5"/>
      <c r="B733" s="15"/>
      <c r="C733" s="15"/>
      <c r="D733" s="15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15"/>
      <c r="B734" s="15"/>
      <c r="C734" s="15"/>
      <c r="D734" s="15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5"/>
      <c r="B735" s="15"/>
      <c r="C735" s="15"/>
      <c r="D735" s="15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15"/>
      <c r="B736" s="15"/>
      <c r="C736" s="15"/>
      <c r="D736" s="15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5"/>
      <c r="B737" s="15"/>
      <c r="C737" s="15"/>
      <c r="D737" s="15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15"/>
      <c r="B738" s="15"/>
      <c r="C738" s="15"/>
      <c r="D738" s="15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5"/>
      <c r="B739" s="15"/>
      <c r="C739" s="15"/>
      <c r="D739" s="15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15"/>
      <c r="B740" s="15"/>
      <c r="C740" s="15"/>
      <c r="D740" s="15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5"/>
      <c r="B741" s="15"/>
      <c r="C741" s="15"/>
      <c r="D741" s="15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15"/>
      <c r="B742" s="15"/>
      <c r="C742" s="15"/>
      <c r="D742" s="15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5"/>
      <c r="B743" s="15"/>
      <c r="C743" s="15"/>
      <c r="D743" s="15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15"/>
      <c r="B744" s="15"/>
      <c r="C744" s="15"/>
      <c r="D744" s="15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5"/>
      <c r="B745" s="15"/>
      <c r="C745" s="15"/>
      <c r="D745" s="15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15"/>
      <c r="B746" s="15"/>
      <c r="C746" s="15"/>
      <c r="D746" s="15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5"/>
      <c r="B747" s="15"/>
      <c r="C747" s="15"/>
      <c r="D747" s="15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15"/>
      <c r="B748" s="15"/>
      <c r="C748" s="15"/>
      <c r="D748" s="15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5"/>
      <c r="B749" s="15"/>
      <c r="C749" s="15"/>
      <c r="D749" s="15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15"/>
      <c r="B750" s="15"/>
      <c r="C750" s="15"/>
      <c r="D750" s="15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5"/>
      <c r="B751" s="15"/>
      <c r="C751" s="15"/>
      <c r="D751" s="15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15"/>
      <c r="B752" s="15"/>
      <c r="C752" s="15"/>
      <c r="D752" s="15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5"/>
      <c r="B753" s="15"/>
      <c r="C753" s="15"/>
      <c r="D753" s="15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15"/>
      <c r="B754" s="15"/>
      <c r="C754" s="15"/>
      <c r="D754" s="15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5"/>
      <c r="B755" s="15"/>
      <c r="C755" s="15"/>
      <c r="D755" s="15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15"/>
      <c r="B756" s="15"/>
      <c r="C756" s="15"/>
      <c r="D756" s="15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5"/>
      <c r="B757" s="15"/>
      <c r="C757" s="15"/>
      <c r="D757" s="15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15"/>
      <c r="B758" s="15"/>
      <c r="C758" s="15"/>
      <c r="D758" s="15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5"/>
      <c r="B759" s="15"/>
      <c r="C759" s="15"/>
      <c r="D759" s="15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15"/>
      <c r="B760" s="15"/>
      <c r="C760" s="15"/>
      <c r="D760" s="15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5"/>
      <c r="B761" s="15"/>
      <c r="C761" s="15"/>
      <c r="D761" s="15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15"/>
      <c r="B762" s="15"/>
      <c r="C762" s="15"/>
      <c r="D762" s="15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5"/>
      <c r="B763" s="15"/>
      <c r="C763" s="15"/>
      <c r="D763" s="15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15"/>
      <c r="B764" s="15"/>
      <c r="C764" s="15"/>
      <c r="D764" s="15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5"/>
      <c r="B765" s="15"/>
      <c r="C765" s="15"/>
      <c r="D765" s="15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15"/>
      <c r="B766" s="15"/>
      <c r="C766" s="15"/>
      <c r="D766" s="15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5"/>
      <c r="B767" s="15"/>
      <c r="C767" s="15"/>
      <c r="D767" s="15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15"/>
      <c r="B768" s="15"/>
      <c r="C768" s="15"/>
      <c r="D768" s="15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5"/>
      <c r="B769" s="15"/>
      <c r="C769" s="15"/>
      <c r="D769" s="15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15"/>
      <c r="B770" s="15"/>
      <c r="C770" s="15"/>
      <c r="D770" s="15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5"/>
      <c r="B771" s="15"/>
      <c r="C771" s="15"/>
      <c r="D771" s="15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15"/>
      <c r="B772" s="15"/>
      <c r="C772" s="15"/>
      <c r="D772" s="15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5"/>
      <c r="B773" s="15"/>
      <c r="C773" s="15"/>
      <c r="D773" s="15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15"/>
      <c r="B774" s="15"/>
      <c r="C774" s="15"/>
      <c r="D774" s="15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5"/>
      <c r="B775" s="15"/>
      <c r="C775" s="15"/>
      <c r="D775" s="15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15"/>
      <c r="B776" s="15"/>
      <c r="C776" s="15"/>
      <c r="D776" s="15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5"/>
      <c r="B777" s="15"/>
      <c r="C777" s="15"/>
      <c r="D777" s="15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15"/>
      <c r="B778" s="15"/>
      <c r="C778" s="15"/>
      <c r="D778" s="15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5"/>
      <c r="B779" s="15"/>
      <c r="C779" s="15"/>
      <c r="D779" s="15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15"/>
      <c r="B780" s="15"/>
      <c r="C780" s="15"/>
      <c r="D780" s="15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5"/>
      <c r="B781" s="15"/>
      <c r="C781" s="15"/>
      <c r="D781" s="15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15"/>
      <c r="B782" s="15"/>
      <c r="C782" s="15"/>
      <c r="D782" s="15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5"/>
      <c r="B783" s="15"/>
      <c r="C783" s="15"/>
      <c r="D783" s="15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15"/>
      <c r="B784" s="15"/>
      <c r="C784" s="15"/>
      <c r="D784" s="15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5"/>
      <c r="B785" s="15"/>
      <c r="C785" s="15"/>
      <c r="D785" s="15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15"/>
      <c r="B786" s="15"/>
      <c r="C786" s="15"/>
      <c r="D786" s="15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5"/>
      <c r="B787" s="15"/>
      <c r="C787" s="15"/>
      <c r="D787" s="15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15"/>
      <c r="B788" s="15"/>
      <c r="C788" s="15"/>
      <c r="D788" s="15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5"/>
      <c r="B789" s="15"/>
      <c r="C789" s="15"/>
      <c r="D789" s="15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15"/>
      <c r="B790" s="15"/>
      <c r="C790" s="15"/>
      <c r="D790" s="15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5"/>
      <c r="B791" s="15"/>
      <c r="C791" s="15"/>
      <c r="D791" s="15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15"/>
      <c r="B792" s="15"/>
      <c r="C792" s="15"/>
      <c r="D792" s="15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5"/>
      <c r="B793" s="15"/>
      <c r="C793" s="15"/>
      <c r="D793" s="15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15"/>
      <c r="B794" s="15"/>
      <c r="C794" s="15"/>
      <c r="D794" s="15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5"/>
      <c r="B795" s="15"/>
      <c r="C795" s="15"/>
      <c r="D795" s="15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15"/>
      <c r="B796" s="15"/>
      <c r="C796" s="15"/>
      <c r="D796" s="15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5"/>
      <c r="B797" s="15"/>
      <c r="C797" s="15"/>
      <c r="D797" s="15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15"/>
      <c r="B798" s="15"/>
      <c r="C798" s="15"/>
      <c r="D798" s="15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5"/>
      <c r="B799" s="15"/>
      <c r="C799" s="15"/>
      <c r="D799" s="15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15"/>
      <c r="B800" s="15"/>
      <c r="C800" s="15"/>
      <c r="D800" s="15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5"/>
      <c r="B801" s="15"/>
      <c r="C801" s="15"/>
      <c r="D801" s="15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15"/>
      <c r="B802" s="15"/>
      <c r="C802" s="15"/>
      <c r="D802" s="15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5"/>
      <c r="B803" s="15"/>
      <c r="C803" s="15"/>
      <c r="D803" s="15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15"/>
      <c r="B804" s="15"/>
      <c r="C804" s="15"/>
      <c r="D804" s="15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5"/>
      <c r="B805" s="15"/>
      <c r="C805" s="15"/>
      <c r="D805" s="15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15"/>
      <c r="B806" s="15"/>
      <c r="C806" s="15"/>
      <c r="D806" s="15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5"/>
      <c r="B807" s="15"/>
      <c r="C807" s="15"/>
      <c r="D807" s="15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15"/>
      <c r="B808" s="15"/>
      <c r="C808" s="15"/>
      <c r="D808" s="15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5"/>
      <c r="B809" s="15"/>
      <c r="C809" s="15"/>
      <c r="D809" s="15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15"/>
      <c r="B810" s="15"/>
      <c r="C810" s="15"/>
      <c r="D810" s="15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5"/>
      <c r="B811" s="15"/>
      <c r="C811" s="15"/>
      <c r="D811" s="15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15"/>
      <c r="B812" s="15"/>
      <c r="C812" s="15"/>
      <c r="D812" s="15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5"/>
      <c r="B813" s="15"/>
      <c r="C813" s="15"/>
      <c r="D813" s="15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15"/>
      <c r="B814" s="15"/>
      <c r="C814" s="15"/>
      <c r="D814" s="15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5"/>
      <c r="B815" s="15"/>
      <c r="C815" s="15"/>
      <c r="D815" s="15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15"/>
      <c r="B816" s="15"/>
      <c r="C816" s="15"/>
      <c r="D816" s="15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5"/>
      <c r="B817" s="15"/>
      <c r="C817" s="15"/>
      <c r="D817" s="15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15"/>
      <c r="B818" s="15"/>
      <c r="C818" s="15"/>
      <c r="D818" s="15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5"/>
      <c r="B819" s="15"/>
      <c r="C819" s="15"/>
      <c r="D819" s="15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15"/>
      <c r="B820" s="15"/>
      <c r="C820" s="15"/>
      <c r="D820" s="15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5"/>
      <c r="B821" s="15"/>
      <c r="C821" s="15"/>
      <c r="D821" s="15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15"/>
      <c r="B822" s="15"/>
      <c r="C822" s="15"/>
      <c r="D822" s="15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5"/>
      <c r="B823" s="15"/>
      <c r="C823" s="15"/>
      <c r="D823" s="15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15"/>
      <c r="B824" s="15"/>
      <c r="C824" s="15"/>
      <c r="D824" s="15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5"/>
      <c r="B825" s="15"/>
      <c r="C825" s="15"/>
      <c r="D825" s="15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15"/>
      <c r="B826" s="15"/>
      <c r="C826" s="15"/>
      <c r="D826" s="15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5"/>
      <c r="B827" s="15"/>
      <c r="C827" s="15"/>
      <c r="D827" s="15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15"/>
      <c r="B828" s="15"/>
      <c r="C828" s="15"/>
      <c r="D828" s="15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5"/>
      <c r="B829" s="15"/>
      <c r="C829" s="15"/>
      <c r="D829" s="15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15"/>
      <c r="B830" s="15"/>
      <c r="C830" s="15"/>
      <c r="D830" s="15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5"/>
      <c r="B831" s="15"/>
      <c r="C831" s="15"/>
      <c r="D831" s="15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15"/>
      <c r="B832" s="15"/>
      <c r="C832" s="15"/>
      <c r="D832" s="15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5"/>
      <c r="B833" s="15"/>
      <c r="C833" s="15"/>
      <c r="D833" s="15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15"/>
      <c r="B834" s="15"/>
      <c r="C834" s="15"/>
      <c r="D834" s="15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5"/>
      <c r="B835" s="15"/>
      <c r="C835" s="15"/>
      <c r="D835" s="15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15"/>
      <c r="B836" s="15"/>
      <c r="C836" s="15"/>
      <c r="D836" s="15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5"/>
      <c r="B837" s="15"/>
      <c r="C837" s="15"/>
      <c r="D837" s="15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15"/>
      <c r="B838" s="15"/>
      <c r="C838" s="15"/>
      <c r="D838" s="15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5"/>
      <c r="B839" s="15"/>
      <c r="C839" s="15"/>
      <c r="D839" s="15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15"/>
      <c r="B840" s="15"/>
      <c r="C840" s="15"/>
      <c r="D840" s="15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5"/>
      <c r="B841" s="15"/>
      <c r="C841" s="15"/>
      <c r="D841" s="15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15"/>
      <c r="B842" s="15"/>
      <c r="C842" s="15"/>
      <c r="D842" s="15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5"/>
      <c r="B843" s="15"/>
      <c r="C843" s="15"/>
      <c r="D843" s="15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15"/>
      <c r="B844" s="15"/>
      <c r="C844" s="15"/>
      <c r="D844" s="15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5"/>
      <c r="B845" s="15"/>
      <c r="C845" s="15"/>
      <c r="D845" s="15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15"/>
      <c r="B846" s="15"/>
      <c r="C846" s="15"/>
      <c r="D846" s="15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5"/>
      <c r="B847" s="15"/>
      <c r="C847" s="15"/>
      <c r="D847" s="15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15"/>
      <c r="B848" s="15"/>
      <c r="C848" s="15"/>
      <c r="D848" s="15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5"/>
      <c r="B849" s="15"/>
      <c r="C849" s="15"/>
      <c r="D849" s="15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15"/>
      <c r="B850" s="15"/>
      <c r="C850" s="15"/>
      <c r="D850" s="15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5"/>
      <c r="B851" s="15"/>
      <c r="C851" s="15"/>
      <c r="D851" s="15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15"/>
      <c r="B852" s="15"/>
      <c r="C852" s="15"/>
      <c r="D852" s="15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5"/>
      <c r="B853" s="15"/>
      <c r="C853" s="15"/>
      <c r="D853" s="15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15"/>
      <c r="B854" s="15"/>
      <c r="C854" s="15"/>
      <c r="D854" s="15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5"/>
      <c r="B855" s="15"/>
      <c r="C855" s="15"/>
      <c r="D855" s="15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15"/>
      <c r="B856" s="15"/>
      <c r="C856" s="15"/>
      <c r="D856" s="15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5"/>
      <c r="B857" s="15"/>
      <c r="C857" s="15"/>
      <c r="D857" s="15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15"/>
      <c r="B858" s="15"/>
      <c r="C858" s="15"/>
      <c r="D858" s="15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5"/>
      <c r="B859" s="15"/>
      <c r="C859" s="15"/>
      <c r="D859" s="15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15"/>
      <c r="B860" s="15"/>
      <c r="C860" s="15"/>
      <c r="D860" s="15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5"/>
      <c r="B861" s="15"/>
      <c r="C861" s="15"/>
      <c r="D861" s="15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15"/>
      <c r="B862" s="15"/>
      <c r="C862" s="15"/>
      <c r="D862" s="15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5"/>
      <c r="B863" s="15"/>
      <c r="C863" s="15"/>
      <c r="D863" s="15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15"/>
      <c r="B864" s="15"/>
      <c r="C864" s="15"/>
      <c r="D864" s="15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5"/>
      <c r="B865" s="15"/>
      <c r="C865" s="15"/>
      <c r="D865" s="15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15"/>
      <c r="B866" s="15"/>
      <c r="C866" s="15"/>
      <c r="D866" s="15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5"/>
      <c r="B867" s="15"/>
      <c r="C867" s="15"/>
      <c r="D867" s="15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15"/>
      <c r="B868" s="15"/>
      <c r="C868" s="15"/>
      <c r="D868" s="15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5"/>
      <c r="B869" s="15"/>
      <c r="C869" s="15"/>
      <c r="D869" s="15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15"/>
      <c r="B870" s="15"/>
      <c r="C870" s="15"/>
      <c r="D870" s="15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5"/>
      <c r="B871" s="15"/>
      <c r="C871" s="15"/>
      <c r="D871" s="15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15"/>
      <c r="B872" s="15"/>
      <c r="C872" s="15"/>
      <c r="D872" s="15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5"/>
      <c r="B873" s="15"/>
      <c r="C873" s="15"/>
      <c r="D873" s="15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15"/>
      <c r="B874" s="15"/>
      <c r="C874" s="15"/>
      <c r="D874" s="15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5"/>
      <c r="B875" s="15"/>
      <c r="C875" s="15"/>
      <c r="D875" s="15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15"/>
      <c r="B876" s="15"/>
      <c r="C876" s="15"/>
      <c r="D876" s="15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5"/>
      <c r="B877" s="15"/>
      <c r="C877" s="15"/>
      <c r="D877" s="15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15"/>
      <c r="B878" s="15"/>
      <c r="C878" s="15"/>
      <c r="D878" s="15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5"/>
      <c r="B879" s="15"/>
      <c r="C879" s="15"/>
      <c r="D879" s="15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15"/>
      <c r="B880" s="15"/>
      <c r="C880" s="15"/>
      <c r="D880" s="15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5"/>
      <c r="B881" s="15"/>
      <c r="C881" s="15"/>
      <c r="D881" s="15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15"/>
      <c r="B882" s="15"/>
      <c r="C882" s="15"/>
      <c r="D882" s="15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5"/>
      <c r="B883" s="15"/>
      <c r="C883" s="15"/>
      <c r="D883" s="15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15"/>
      <c r="B884" s="15"/>
      <c r="C884" s="15"/>
      <c r="D884" s="15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5"/>
      <c r="B885" s="15"/>
      <c r="C885" s="15"/>
      <c r="D885" s="15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15"/>
      <c r="B886" s="15"/>
      <c r="C886" s="15"/>
      <c r="D886" s="15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5"/>
      <c r="B887" s="15"/>
      <c r="C887" s="15"/>
      <c r="D887" s="15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15"/>
      <c r="B888" s="15"/>
      <c r="C888" s="15"/>
      <c r="D888" s="15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5"/>
      <c r="B889" s="15"/>
      <c r="C889" s="15"/>
      <c r="D889" s="15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15"/>
      <c r="B890" s="15"/>
      <c r="C890" s="15"/>
      <c r="D890" s="15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5"/>
      <c r="B891" s="15"/>
      <c r="C891" s="15"/>
      <c r="D891" s="15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15"/>
      <c r="B892" s="15"/>
      <c r="C892" s="15"/>
      <c r="D892" s="15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5"/>
      <c r="B893" s="15"/>
      <c r="C893" s="15"/>
      <c r="D893" s="15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15"/>
      <c r="B894" s="15"/>
      <c r="C894" s="15"/>
      <c r="D894" s="15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5"/>
      <c r="B895" s="15"/>
      <c r="C895" s="15"/>
      <c r="D895" s="15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15"/>
      <c r="B896" s="15"/>
      <c r="C896" s="15"/>
      <c r="D896" s="15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5"/>
      <c r="B897" s="15"/>
      <c r="C897" s="15"/>
      <c r="D897" s="15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15"/>
      <c r="B898" s="15"/>
      <c r="C898" s="15"/>
      <c r="D898" s="15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5"/>
      <c r="B899" s="15"/>
      <c r="C899" s="15"/>
      <c r="D899" s="15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15"/>
      <c r="B900" s="15"/>
      <c r="C900" s="15"/>
      <c r="D900" s="15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5"/>
      <c r="B901" s="15"/>
      <c r="C901" s="15"/>
      <c r="D901" s="15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15"/>
      <c r="B902" s="15"/>
      <c r="C902" s="15"/>
      <c r="D902" s="15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5"/>
      <c r="B903" s="15"/>
      <c r="C903" s="15"/>
      <c r="D903" s="15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15"/>
      <c r="B904" s="15"/>
      <c r="C904" s="15"/>
      <c r="D904" s="15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5"/>
      <c r="B905" s="15"/>
      <c r="C905" s="15"/>
      <c r="D905" s="15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15"/>
      <c r="B906" s="15"/>
      <c r="C906" s="15"/>
      <c r="D906" s="15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5"/>
      <c r="B907" s="15"/>
      <c r="C907" s="15"/>
      <c r="D907" s="15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15"/>
      <c r="B908" s="15"/>
      <c r="C908" s="15"/>
      <c r="D908" s="15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5"/>
      <c r="B909" s="15"/>
      <c r="C909" s="15"/>
      <c r="D909" s="15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15"/>
      <c r="B910" s="15"/>
      <c r="C910" s="15"/>
      <c r="D910" s="15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5"/>
      <c r="B911" s="15"/>
      <c r="C911" s="15"/>
      <c r="D911" s="15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15"/>
      <c r="B912" s="15"/>
      <c r="C912" s="15"/>
      <c r="D912" s="15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5"/>
      <c r="B913" s="15"/>
      <c r="C913" s="15"/>
      <c r="D913" s="15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15"/>
      <c r="B914" s="15"/>
      <c r="C914" s="15"/>
      <c r="D914" s="15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5"/>
      <c r="B915" s="15"/>
      <c r="C915" s="15"/>
      <c r="D915" s="15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15"/>
      <c r="B916" s="15"/>
      <c r="C916" s="15"/>
      <c r="D916" s="15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5"/>
      <c r="B917" s="15"/>
      <c r="C917" s="15"/>
      <c r="D917" s="15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15"/>
      <c r="B918" s="15"/>
      <c r="C918" s="15"/>
      <c r="D918" s="15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5"/>
      <c r="B919" s="15"/>
      <c r="C919" s="15"/>
      <c r="D919" s="15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15"/>
      <c r="B920" s="15"/>
      <c r="C920" s="15"/>
      <c r="D920" s="15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5"/>
      <c r="B921" s="15"/>
      <c r="C921" s="15"/>
      <c r="D921" s="15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15"/>
      <c r="B922" s="15"/>
      <c r="C922" s="15"/>
      <c r="D922" s="15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5"/>
      <c r="B923" s="15"/>
      <c r="C923" s="15"/>
      <c r="D923" s="15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15"/>
      <c r="B924" s="15"/>
      <c r="C924" s="15"/>
      <c r="D924" s="15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5"/>
      <c r="B925" s="15"/>
      <c r="C925" s="15"/>
      <c r="D925" s="15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15"/>
      <c r="B926" s="15"/>
      <c r="C926" s="15"/>
      <c r="D926" s="15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5"/>
      <c r="B927" s="15"/>
      <c r="C927" s="15"/>
      <c r="D927" s="15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15"/>
      <c r="B928" s="15"/>
      <c r="C928" s="15"/>
      <c r="D928" s="15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5"/>
      <c r="B929" s="15"/>
      <c r="C929" s="15"/>
      <c r="D929" s="15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15"/>
      <c r="B930" s="15"/>
      <c r="C930" s="15"/>
      <c r="D930" s="15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5"/>
      <c r="B931" s="15"/>
      <c r="C931" s="15"/>
      <c r="D931" s="15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15"/>
      <c r="B932" s="15"/>
      <c r="C932" s="15"/>
      <c r="D932" s="15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5"/>
      <c r="B933" s="15"/>
      <c r="C933" s="15"/>
      <c r="D933" s="15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15"/>
      <c r="B934" s="15"/>
      <c r="C934" s="15"/>
      <c r="D934" s="15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5"/>
      <c r="B935" s="15"/>
      <c r="C935" s="15"/>
      <c r="D935" s="15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15"/>
      <c r="B936" s="15"/>
      <c r="C936" s="15"/>
      <c r="D936" s="15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5"/>
      <c r="B937" s="15"/>
      <c r="C937" s="15"/>
      <c r="D937" s="15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15"/>
      <c r="B938" s="15"/>
      <c r="C938" s="15"/>
      <c r="D938" s="15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5"/>
      <c r="B939" s="15"/>
      <c r="C939" s="15"/>
      <c r="D939" s="15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15"/>
      <c r="B940" s="15"/>
      <c r="C940" s="15"/>
      <c r="D940" s="15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5"/>
      <c r="B941" s="15"/>
      <c r="C941" s="15"/>
      <c r="D941" s="15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15"/>
      <c r="B942" s="15"/>
      <c r="C942" s="15"/>
      <c r="D942" s="15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5"/>
      <c r="B943" s="15"/>
      <c r="C943" s="15"/>
      <c r="D943" s="15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15"/>
      <c r="B944" s="15"/>
      <c r="C944" s="15"/>
      <c r="D944" s="15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5"/>
      <c r="B945" s="15"/>
      <c r="C945" s="15"/>
      <c r="D945" s="15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15"/>
      <c r="B946" s="15"/>
      <c r="C946" s="15"/>
      <c r="D946" s="15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5"/>
      <c r="B947" s="15"/>
      <c r="C947" s="15"/>
      <c r="D947" s="15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15"/>
      <c r="B948" s="15"/>
      <c r="C948" s="15"/>
      <c r="D948" s="15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5"/>
      <c r="B949" s="15"/>
      <c r="C949" s="15"/>
      <c r="D949" s="15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15"/>
      <c r="B950" s="15"/>
      <c r="C950" s="15"/>
      <c r="D950" s="15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5"/>
      <c r="B951" s="15"/>
      <c r="C951" s="15"/>
      <c r="D951" s="15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15"/>
      <c r="B952" s="15"/>
      <c r="C952" s="15"/>
      <c r="D952" s="15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5"/>
      <c r="B953" s="15"/>
      <c r="C953" s="15"/>
      <c r="D953" s="15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15"/>
      <c r="B954" s="15"/>
      <c r="C954" s="15"/>
      <c r="D954" s="15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5"/>
      <c r="B955" s="15"/>
      <c r="C955" s="15"/>
      <c r="D955" s="15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15"/>
      <c r="B956" s="15"/>
      <c r="C956" s="15"/>
      <c r="D956" s="15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5"/>
      <c r="B957" s="15"/>
      <c r="C957" s="15"/>
      <c r="D957" s="15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15"/>
      <c r="B958" s="15"/>
      <c r="C958" s="15"/>
      <c r="D958" s="15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5"/>
      <c r="B959" s="15"/>
      <c r="C959" s="15"/>
      <c r="D959" s="15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15"/>
      <c r="B960" s="15"/>
      <c r="C960" s="15"/>
      <c r="D960" s="15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5"/>
      <c r="B961" s="15"/>
      <c r="C961" s="15"/>
      <c r="D961" s="15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15"/>
      <c r="B962" s="15"/>
      <c r="C962" s="15"/>
      <c r="D962" s="15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5"/>
      <c r="B963" s="15"/>
      <c r="C963" s="15"/>
      <c r="D963" s="15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15"/>
      <c r="B964" s="15"/>
      <c r="C964" s="15"/>
      <c r="D964" s="15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5"/>
      <c r="B965" s="15"/>
      <c r="C965" s="15"/>
      <c r="D965" s="15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15"/>
      <c r="B966" s="15"/>
      <c r="C966" s="15"/>
      <c r="D966" s="15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5"/>
      <c r="B967" s="15"/>
      <c r="C967" s="15"/>
      <c r="D967" s="15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15"/>
      <c r="B968" s="15"/>
      <c r="C968" s="15"/>
      <c r="D968" s="15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5"/>
      <c r="B969" s="15"/>
      <c r="C969" s="15"/>
      <c r="D969" s="15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15"/>
      <c r="B970" s="15"/>
      <c r="C970" s="15"/>
      <c r="D970" s="15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5"/>
      <c r="B971" s="15"/>
      <c r="C971" s="15"/>
      <c r="D971" s="15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15"/>
      <c r="B972" s="15"/>
      <c r="C972" s="15"/>
      <c r="D972" s="15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5"/>
      <c r="B973" s="15"/>
      <c r="C973" s="15"/>
      <c r="D973" s="15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15"/>
      <c r="B974" s="15"/>
      <c r="C974" s="15"/>
      <c r="D974" s="15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5"/>
      <c r="B975" s="15"/>
      <c r="C975" s="15"/>
      <c r="D975" s="15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15"/>
      <c r="B976" s="15"/>
      <c r="C976" s="15"/>
      <c r="D976" s="15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5"/>
      <c r="B977" s="15"/>
      <c r="C977" s="15"/>
      <c r="D977" s="15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15"/>
      <c r="B978" s="15"/>
      <c r="C978" s="15"/>
      <c r="D978" s="15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5"/>
      <c r="B979" s="15"/>
      <c r="C979" s="15"/>
      <c r="D979" s="15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15"/>
      <c r="B980" s="15"/>
      <c r="C980" s="15"/>
      <c r="D980" s="15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5"/>
      <c r="B981" s="15"/>
      <c r="C981" s="15"/>
      <c r="D981" s="15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15"/>
      <c r="B982" s="15"/>
      <c r="C982" s="15"/>
      <c r="D982" s="15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5"/>
      <c r="B983" s="15"/>
      <c r="C983" s="15"/>
      <c r="D983" s="15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15"/>
      <c r="B984" s="15"/>
      <c r="C984" s="15"/>
      <c r="D984" s="15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5"/>
      <c r="B985" s="15"/>
      <c r="C985" s="15"/>
      <c r="D985" s="15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15"/>
      <c r="B986" s="15"/>
      <c r="C986" s="15"/>
      <c r="D986" s="15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5"/>
      <c r="B987" s="15"/>
      <c r="C987" s="15"/>
      <c r="D987" s="15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15"/>
      <c r="B988" s="15"/>
      <c r="C988" s="15"/>
      <c r="D988" s="15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5"/>
      <c r="B989" s="15"/>
      <c r="C989" s="15"/>
      <c r="D989" s="15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15"/>
      <c r="B990" s="15"/>
      <c r="C990" s="15"/>
      <c r="D990" s="15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5"/>
      <c r="B991" s="15"/>
      <c r="C991" s="15"/>
      <c r="D991" s="15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15"/>
      <c r="B992" s="15"/>
      <c r="C992" s="15"/>
      <c r="D992" s="15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5"/>
      <c r="B993" s="15"/>
      <c r="C993" s="15"/>
      <c r="D993" s="15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15"/>
      <c r="B994" s="15"/>
      <c r="C994" s="15"/>
      <c r="D994" s="15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15"/>
      <c r="B995" s="15"/>
      <c r="C995" s="15"/>
      <c r="D995" s="15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15"/>
      <c r="B996" s="15"/>
      <c r="C996" s="15"/>
      <c r="D996" s="15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15"/>
      <c r="B997" s="15"/>
      <c r="C997" s="15"/>
      <c r="D997" s="15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15"/>
      <c r="B998" s="15"/>
      <c r="C998" s="15"/>
      <c r="D998" s="15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15"/>
      <c r="B999" s="15"/>
      <c r="C999" s="15"/>
      <c r="D999" s="15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15"/>
      <c r="B1000" s="15"/>
      <c r="C1000" s="15"/>
      <c r="D1000" s="15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0.0</v>
      </c>
      <c r="B2" s="3">
        <v>42616.0</v>
      </c>
      <c r="C2" s="3">
        <v>3.0</v>
      </c>
      <c r="D2" s="3">
        <v>432.0</v>
      </c>
      <c r="E2" s="3"/>
    </row>
    <row r="3">
      <c r="A3" s="3">
        <v>1.0</v>
      </c>
      <c r="B3" s="3">
        <v>7383.0</v>
      </c>
      <c r="C3" s="3">
        <v>3.0</v>
      </c>
      <c r="D3" s="3">
        <v>75.0</v>
      </c>
      <c r="E3" s="3"/>
    </row>
    <row r="4">
      <c r="A4" s="3">
        <v>2.0</v>
      </c>
      <c r="B4" s="3">
        <v>15422.0</v>
      </c>
      <c r="C4" s="3">
        <v>1.0</v>
      </c>
      <c r="D4" s="3">
        <v>172.0</v>
      </c>
      <c r="E4" s="3"/>
    </row>
    <row r="5">
      <c r="A5" s="3">
        <v>3.0</v>
      </c>
      <c r="B5" s="3">
        <v>17930.0</v>
      </c>
      <c r="C5" s="3">
        <v>2.0</v>
      </c>
      <c r="D5" s="3">
        <v>133.0</v>
      </c>
      <c r="E5" s="3"/>
    </row>
    <row r="6">
      <c r="A6" s="3">
        <v>4.0</v>
      </c>
      <c r="B6" s="3">
        <v>19981.0</v>
      </c>
      <c r="C6" s="3">
        <v>3.0</v>
      </c>
      <c r="D6" s="3">
        <v>244.0</v>
      </c>
      <c r="E6" s="3"/>
    </row>
    <row r="7">
      <c r="A7" s="3">
        <v>5.0</v>
      </c>
      <c r="B7" s="3">
        <v>22606.0</v>
      </c>
      <c r="C7" s="3">
        <v>2.0</v>
      </c>
      <c r="D7" s="3">
        <v>339.0</v>
      </c>
      <c r="E7" s="3"/>
    </row>
    <row r="8">
      <c r="A8" s="3">
        <v>6.0</v>
      </c>
      <c r="B8" s="3">
        <v>26720.0</v>
      </c>
      <c r="C8" s="3">
        <v>2.0</v>
      </c>
      <c r="D8" s="3">
        <v>236.0</v>
      </c>
      <c r="E8" s="3"/>
    </row>
    <row r="9">
      <c r="A9" s="3">
        <v>7.0</v>
      </c>
      <c r="B9" s="3">
        <v>4880.0</v>
      </c>
      <c r="C9" s="3">
        <v>1.0</v>
      </c>
      <c r="D9" s="3">
        <v>80.0</v>
      </c>
      <c r="E9" s="3"/>
    </row>
    <row r="10">
      <c r="A10" s="3">
        <v>8.0</v>
      </c>
      <c r="B10" s="3">
        <v>18885.0</v>
      </c>
      <c r="C10" s="3">
        <v>3.0</v>
      </c>
      <c r="D10" s="3">
        <v>195.0</v>
      </c>
      <c r="E10" s="3"/>
    </row>
    <row r="11">
      <c r="A11" s="3">
        <v>9.0</v>
      </c>
      <c r="B11" s="3">
        <v>32089.0</v>
      </c>
      <c r="C11" s="3">
        <v>2.0</v>
      </c>
      <c r="D11" s="3">
        <v>289.0</v>
      </c>
      <c r="E11" s="3"/>
    </row>
    <row r="12">
      <c r="A12" s="3">
        <v>10.0</v>
      </c>
      <c r="B12" s="3">
        <v>19517.0</v>
      </c>
      <c r="C12" s="3">
        <v>2.0</v>
      </c>
      <c r="D12" s="3">
        <v>145.0</v>
      </c>
      <c r="E12" s="3"/>
    </row>
    <row r="13">
      <c r="A13" s="3">
        <v>11.0</v>
      </c>
      <c r="B13" s="3">
        <v>24732.0</v>
      </c>
      <c r="C13" s="3">
        <v>3.0</v>
      </c>
      <c r="D13" s="3">
        <v>281.0</v>
      </c>
      <c r="E13" s="3"/>
    </row>
    <row r="14">
      <c r="A14" s="3">
        <v>12.0</v>
      </c>
      <c r="B14" s="3">
        <v>4230.0</v>
      </c>
      <c r="C14" s="3">
        <v>1.0</v>
      </c>
      <c r="D14" s="3">
        <v>39.0</v>
      </c>
      <c r="E14" s="3"/>
    </row>
    <row r="15">
      <c r="A15" s="3">
        <v>13.0</v>
      </c>
      <c r="B15" s="3">
        <v>27872.0</v>
      </c>
      <c r="C15" s="3">
        <v>3.0</v>
      </c>
      <c r="D15" s="3">
        <v>362.0</v>
      </c>
      <c r="E15" s="3"/>
    </row>
    <row r="16">
      <c r="A16" s="3">
        <v>14.0</v>
      </c>
      <c r="B16" s="3">
        <v>11006.0</v>
      </c>
      <c r="C16" s="3">
        <v>2.0</v>
      </c>
      <c r="D16" s="3">
        <v>100.0</v>
      </c>
      <c r="E16" s="3"/>
    </row>
    <row r="17">
      <c r="A17" s="3">
        <v>15.0</v>
      </c>
      <c r="B17" s="3">
        <v>16624.0</v>
      </c>
      <c r="C17" s="3">
        <v>2.0</v>
      </c>
      <c r="D17" s="3">
        <v>126.0</v>
      </c>
      <c r="E17" s="3"/>
    </row>
    <row r="18">
      <c r="A18" s="3">
        <v>16.0</v>
      </c>
      <c r="B18" s="3">
        <v>3994.0</v>
      </c>
      <c r="C18" s="3">
        <v>1.0</v>
      </c>
      <c r="D18" s="3">
        <v>31.0</v>
      </c>
      <c r="E18" s="3"/>
    </row>
    <row r="19">
      <c r="A19" s="3">
        <v>17.0</v>
      </c>
      <c r="B19" s="3">
        <v>4121.0</v>
      </c>
      <c r="C19" s="3">
        <v>2.0</v>
      </c>
      <c r="D19" s="3">
        <v>38.0</v>
      </c>
      <c r="E19" s="3"/>
    </row>
    <row r="20">
      <c r="A20" s="3">
        <v>18.0</v>
      </c>
      <c r="B20" s="3">
        <v>12801.0</v>
      </c>
      <c r="C20" s="3">
        <v>2.0</v>
      </c>
      <c r="D20" s="3">
        <v>183.0</v>
      </c>
      <c r="E20" s="3"/>
    </row>
    <row r="21">
      <c r="A21" s="3">
        <v>19.0</v>
      </c>
      <c r="B21" s="3">
        <v>7407.0</v>
      </c>
      <c r="C21" s="3">
        <v>2.0</v>
      </c>
      <c r="D21" s="3">
        <v>113.0</v>
      </c>
      <c r="E21" s="3"/>
    </row>
    <row r="22">
      <c r="A22" s="3">
        <v>20.0</v>
      </c>
      <c r="B22" s="3">
        <v>14734.0</v>
      </c>
      <c r="C22" s="3">
        <v>1.0</v>
      </c>
      <c r="D22" s="3">
        <v>148.0</v>
      </c>
      <c r="E22" s="3"/>
    </row>
    <row r="23">
      <c r="A23" s="3">
        <v>21.0</v>
      </c>
      <c r="B23" s="3">
        <v>22961.0</v>
      </c>
      <c r="C23" s="3">
        <v>3.0</v>
      </c>
      <c r="D23" s="3">
        <v>176.0</v>
      </c>
      <c r="E23" s="3"/>
    </row>
    <row r="24">
      <c r="A24" s="3">
        <v>22.0</v>
      </c>
      <c r="B24" s="3">
        <v>19768.0</v>
      </c>
      <c r="C24" s="3">
        <v>2.0</v>
      </c>
      <c r="D24" s="3">
        <v>187.0</v>
      </c>
      <c r="E24" s="3"/>
    </row>
    <row r="25">
      <c r="A25" s="3">
        <v>23.0</v>
      </c>
      <c r="B25" s="3">
        <v>15964.0</v>
      </c>
      <c r="C25" s="3">
        <v>3.0</v>
      </c>
      <c r="D25" s="3">
        <v>183.0</v>
      </c>
      <c r="E25" s="3"/>
    </row>
    <row r="26">
      <c r="A26" s="3">
        <v>24.0</v>
      </c>
      <c r="B26" s="3">
        <v>7607.0</v>
      </c>
      <c r="C26" s="3">
        <v>2.0</v>
      </c>
      <c r="D26" s="3">
        <v>106.0</v>
      </c>
      <c r="E26" s="3"/>
    </row>
    <row r="27">
      <c r="A27" s="3">
        <v>25.0</v>
      </c>
      <c r="B27" s="3">
        <v>11858.0</v>
      </c>
      <c r="C27" s="3">
        <v>3.0</v>
      </c>
      <c r="D27" s="3">
        <v>190.0</v>
      </c>
      <c r="E27" s="3"/>
    </row>
    <row r="28">
      <c r="A28" s="3">
        <v>26.0</v>
      </c>
      <c r="B28" s="3">
        <v>10316.0</v>
      </c>
      <c r="C28" s="3">
        <v>1.0</v>
      </c>
      <c r="D28" s="3">
        <v>168.0</v>
      </c>
      <c r="E28" s="3"/>
    </row>
    <row r="29">
      <c r="A29" s="3">
        <v>27.0</v>
      </c>
      <c r="B29" s="3">
        <v>13764.0</v>
      </c>
      <c r="C29" s="3">
        <v>3.0</v>
      </c>
      <c r="D29" s="3">
        <v>246.0</v>
      </c>
      <c r="E29" s="3"/>
    </row>
    <row r="30">
      <c r="A30" s="3">
        <v>28.0</v>
      </c>
      <c r="B30" s="3">
        <v>8155.0</v>
      </c>
      <c r="C30" s="3">
        <v>2.0</v>
      </c>
      <c r="D30" s="3">
        <v>131.0</v>
      </c>
      <c r="E30" s="3"/>
    </row>
    <row r="31">
      <c r="A31" s="3">
        <v>29.0</v>
      </c>
      <c r="B31" s="3">
        <v>30897.0</v>
      </c>
      <c r="C31" s="3">
        <v>2.0</v>
      </c>
      <c r="D31" s="3">
        <v>298.0</v>
      </c>
      <c r="E31" s="3"/>
    </row>
    <row r="32">
      <c r="A32" s="3">
        <v>30.0</v>
      </c>
      <c r="B32" s="3">
        <v>11757.0</v>
      </c>
      <c r="C32" s="3">
        <v>1.0</v>
      </c>
      <c r="D32" s="3">
        <v>187.0</v>
      </c>
      <c r="E32" s="3"/>
    </row>
    <row r="33">
      <c r="A33" s="3">
        <v>31.0</v>
      </c>
      <c r="B33" s="3">
        <v>15761.0</v>
      </c>
      <c r="C33" s="3">
        <v>1.0</v>
      </c>
      <c r="D33" s="3">
        <v>154.0</v>
      </c>
      <c r="E33" s="3"/>
    </row>
    <row r="34">
      <c r="A34" s="3">
        <v>32.0</v>
      </c>
      <c r="B34" s="3">
        <v>19358.0</v>
      </c>
      <c r="C34" s="3">
        <v>2.0</v>
      </c>
      <c r="D34" s="3">
        <v>198.0</v>
      </c>
      <c r="E34" s="3"/>
    </row>
    <row r="35">
      <c r="A35" s="3">
        <v>33.0</v>
      </c>
      <c r="B35" s="3">
        <v>25187.0</v>
      </c>
      <c r="C35" s="3">
        <v>3.0</v>
      </c>
      <c r="D35" s="3">
        <v>340.0</v>
      </c>
      <c r="E35" s="3"/>
    </row>
    <row r="36">
      <c r="A36" s="3">
        <v>34.0</v>
      </c>
      <c r="B36" s="3">
        <v>16662.0</v>
      </c>
      <c r="C36" s="3">
        <v>3.0</v>
      </c>
      <c r="D36" s="3">
        <v>285.0</v>
      </c>
      <c r="E36" s="3"/>
    </row>
    <row r="37">
      <c r="A37" s="3">
        <v>35.0</v>
      </c>
      <c r="B37" s="3">
        <v>28774.0</v>
      </c>
      <c r="C37" s="3">
        <v>3.0</v>
      </c>
      <c r="D37" s="3">
        <v>376.0</v>
      </c>
      <c r="E37" s="3"/>
    </row>
    <row r="38">
      <c r="A38" s="3">
        <v>36.0</v>
      </c>
      <c r="B38" s="3">
        <v>4481.0</v>
      </c>
      <c r="C38" s="3">
        <v>1.0</v>
      </c>
      <c r="D38" s="3">
        <v>60.0</v>
      </c>
      <c r="E38" s="3"/>
    </row>
    <row r="39">
      <c r="A39" s="3">
        <v>37.0</v>
      </c>
      <c r="B39" s="3">
        <v>6674.0</v>
      </c>
      <c r="C39" s="3">
        <v>1.0</v>
      </c>
      <c r="D39" s="3">
        <v>75.0</v>
      </c>
      <c r="E39" s="3"/>
    </row>
    <row r="40">
      <c r="A40" s="3">
        <v>38.0</v>
      </c>
      <c r="B40" s="3">
        <v>15114.0</v>
      </c>
      <c r="C40" s="3">
        <v>1.0</v>
      </c>
      <c r="D40" s="3">
        <v>271.0</v>
      </c>
      <c r="E40" s="3"/>
    </row>
    <row r="41">
      <c r="A41" s="3">
        <v>39.0</v>
      </c>
      <c r="B41" s="3">
        <v>14271.0</v>
      </c>
      <c r="C41" s="3">
        <v>2.0</v>
      </c>
      <c r="D41" s="3">
        <v>202.0</v>
      </c>
      <c r="E41" s="3"/>
    </row>
    <row r="42">
      <c r="A42" s="3">
        <v>40.0</v>
      </c>
      <c r="B42" s="3">
        <v>8456.0</v>
      </c>
      <c r="C42" s="3">
        <v>2.0</v>
      </c>
      <c r="D42" s="3">
        <v>67.0</v>
      </c>
      <c r="E42" s="3"/>
    </row>
    <row r="43">
      <c r="A43" s="3">
        <v>41.0</v>
      </c>
      <c r="B43" s="3">
        <v>13248.0</v>
      </c>
      <c r="C43" s="3">
        <v>3.0</v>
      </c>
      <c r="D43" s="3">
        <v>123.0</v>
      </c>
      <c r="E43" s="3"/>
    </row>
    <row r="44">
      <c r="A44" s="3">
        <v>42.0</v>
      </c>
      <c r="B44" s="3">
        <v>6691.0</v>
      </c>
      <c r="C44" s="3">
        <v>1.0</v>
      </c>
      <c r="D44" s="3">
        <v>45.0</v>
      </c>
      <c r="E44" s="3"/>
    </row>
    <row r="45">
      <c r="A45" s="3">
        <v>43.0</v>
      </c>
      <c r="B45" s="3">
        <v>26330.0</v>
      </c>
      <c r="C45" s="3">
        <v>3.0</v>
      </c>
      <c r="D45" s="3">
        <v>305.0</v>
      </c>
      <c r="E45" s="3"/>
    </row>
    <row r="46">
      <c r="A46" s="3">
        <v>44.0</v>
      </c>
      <c r="B46" s="3">
        <v>13752.0</v>
      </c>
      <c r="C46" s="3">
        <v>2.0</v>
      </c>
      <c r="D46" s="3">
        <v>210.0</v>
      </c>
      <c r="E46" s="3"/>
    </row>
    <row r="47">
      <c r="A47" s="3">
        <v>45.0</v>
      </c>
      <c r="B47" s="3">
        <v>6036.0</v>
      </c>
      <c r="C47" s="3">
        <v>3.0</v>
      </c>
      <c r="D47" s="3">
        <v>66.0</v>
      </c>
      <c r="E47" s="3"/>
    </row>
    <row r="48">
      <c r="A48" s="3">
        <v>46.0</v>
      </c>
      <c r="B48" s="3">
        <v>19137.0</v>
      </c>
      <c r="C48" s="3">
        <v>3.0</v>
      </c>
      <c r="D48" s="3">
        <v>253.0</v>
      </c>
      <c r="E48" s="3"/>
    </row>
    <row r="49">
      <c r="A49" s="3">
        <v>47.0</v>
      </c>
      <c r="B49" s="3">
        <v>16904.0</v>
      </c>
      <c r="C49" s="3">
        <v>2.0</v>
      </c>
      <c r="D49" s="3">
        <v>91.0</v>
      </c>
      <c r="E49" s="3"/>
    </row>
    <row r="50">
      <c r="A50" s="3">
        <v>48.0</v>
      </c>
      <c r="B50" s="3">
        <v>4229.0</v>
      </c>
      <c r="C50" s="3">
        <v>1.0</v>
      </c>
      <c r="D50" s="3">
        <v>21.0</v>
      </c>
      <c r="E50" s="3"/>
    </row>
    <row r="51">
      <c r="A51" s="3">
        <v>49.0</v>
      </c>
      <c r="B51" s="3">
        <v>6888.0</v>
      </c>
      <c r="C51" s="3">
        <v>1.0</v>
      </c>
      <c r="D51" s="3">
        <v>135.0</v>
      </c>
      <c r="E51" s="3"/>
    </row>
    <row r="52">
      <c r="A52" s="3">
        <v>50.0</v>
      </c>
      <c r="B52" s="3">
        <v>24268.0</v>
      </c>
      <c r="C52" s="3">
        <v>3.0</v>
      </c>
      <c r="D52" s="3">
        <v>357.0</v>
      </c>
      <c r="E52" s="3"/>
    </row>
    <row r="53">
      <c r="A53" s="3">
        <v>51.0</v>
      </c>
      <c r="B53" s="3">
        <v>24253.0</v>
      </c>
      <c r="C53" s="3">
        <v>2.0</v>
      </c>
      <c r="D53" s="3">
        <v>374.0</v>
      </c>
      <c r="E53" s="3"/>
    </row>
    <row r="54">
      <c r="A54" s="3">
        <v>52.0</v>
      </c>
      <c r="B54" s="3">
        <v>31119.0</v>
      </c>
      <c r="C54" s="3">
        <v>3.0</v>
      </c>
      <c r="D54" s="3">
        <v>276.0</v>
      </c>
      <c r="E54" s="3"/>
    </row>
    <row r="55">
      <c r="A55" s="3">
        <v>53.0</v>
      </c>
      <c r="B55" s="3">
        <v>24207.0</v>
      </c>
      <c r="C55" s="3">
        <v>3.0</v>
      </c>
      <c r="D55" s="3">
        <v>436.0</v>
      </c>
      <c r="E55" s="3"/>
    </row>
    <row r="56">
      <c r="A56" s="3">
        <v>54.0</v>
      </c>
      <c r="B56" s="3">
        <v>21699.0</v>
      </c>
      <c r="C56" s="3">
        <v>2.0</v>
      </c>
      <c r="D56" s="3">
        <v>219.0</v>
      </c>
      <c r="E56" s="3"/>
    </row>
    <row r="57">
      <c r="A57" s="3">
        <v>55.0</v>
      </c>
      <c r="B57" s="3">
        <v>25610.0</v>
      </c>
      <c r="C57" s="3">
        <v>2.0</v>
      </c>
      <c r="D57" s="3">
        <v>269.0</v>
      </c>
      <c r="E57" s="3"/>
    </row>
    <row r="58">
      <c r="A58" s="3">
        <v>56.0</v>
      </c>
      <c r="B58" s="3">
        <v>33074.0</v>
      </c>
      <c r="C58" s="3">
        <v>3.0</v>
      </c>
      <c r="D58" s="3">
        <v>347.0</v>
      </c>
      <c r="E58" s="3"/>
    </row>
    <row r="59">
      <c r="A59" s="3">
        <v>57.0</v>
      </c>
      <c r="B59" s="3">
        <v>15366.0</v>
      </c>
      <c r="C59" s="3">
        <v>1.0</v>
      </c>
      <c r="D59" s="3">
        <v>220.0</v>
      </c>
      <c r="E59" s="3"/>
    </row>
    <row r="60">
      <c r="A60" s="3">
        <v>58.0</v>
      </c>
      <c r="B60" s="3">
        <v>7962.0</v>
      </c>
      <c r="C60" s="3">
        <v>3.0</v>
      </c>
      <c r="D60" s="3">
        <v>97.0</v>
      </c>
      <c r="E60" s="3"/>
    </row>
    <row r="61">
      <c r="A61" s="3">
        <v>59.0</v>
      </c>
      <c r="B61" s="3">
        <v>4249.0</v>
      </c>
      <c r="C61" s="3">
        <v>1.0</v>
      </c>
      <c r="D61" s="3">
        <v>71.0</v>
      </c>
      <c r="E61" s="3"/>
    </row>
    <row r="62">
      <c r="A62" s="3">
        <v>60.0</v>
      </c>
      <c r="B62" s="3">
        <v>22482.0</v>
      </c>
      <c r="C62" s="3">
        <v>3.0</v>
      </c>
      <c r="D62" s="3">
        <v>341.0</v>
      </c>
      <c r="E62" s="3"/>
    </row>
    <row r="63">
      <c r="A63" s="3">
        <v>61.0</v>
      </c>
      <c r="B63" s="3">
        <v>3767.0</v>
      </c>
      <c r="C63" s="3">
        <v>1.0</v>
      </c>
      <c r="D63" s="3">
        <v>59.0</v>
      </c>
      <c r="E63" s="3"/>
    </row>
    <row r="64">
      <c r="A64" s="3">
        <v>62.0</v>
      </c>
      <c r="B64" s="3">
        <v>24828.0</v>
      </c>
      <c r="C64" s="3">
        <v>3.0</v>
      </c>
      <c r="D64" s="3">
        <v>202.0</v>
      </c>
      <c r="E64" s="3"/>
    </row>
    <row r="65">
      <c r="A65" s="3">
        <v>63.0</v>
      </c>
      <c r="B65" s="3">
        <v>31528.0</v>
      </c>
      <c r="C65" s="3">
        <v>3.0</v>
      </c>
      <c r="D65" s="3">
        <v>346.0</v>
      </c>
      <c r="E65" s="3"/>
    </row>
    <row r="66">
      <c r="A66" s="3">
        <v>64.0</v>
      </c>
      <c r="B66" s="3">
        <v>24541.0</v>
      </c>
      <c r="C66" s="3">
        <v>2.0</v>
      </c>
      <c r="D66" s="3">
        <v>278.0</v>
      </c>
      <c r="E66" s="3"/>
    </row>
    <row r="67">
      <c r="A67" s="3">
        <v>65.0</v>
      </c>
      <c r="B67" s="3">
        <v>18579.0</v>
      </c>
      <c r="C67" s="3">
        <v>2.0</v>
      </c>
      <c r="D67" s="3">
        <v>313.0</v>
      </c>
      <c r="E67" s="3"/>
    </row>
    <row r="68">
      <c r="A68" s="3">
        <v>66.0</v>
      </c>
      <c r="B68" s="3">
        <v>15579.0</v>
      </c>
      <c r="C68" s="3">
        <v>3.0</v>
      </c>
      <c r="D68" s="3">
        <v>190.0</v>
      </c>
      <c r="E68" s="3"/>
    </row>
    <row r="69">
      <c r="A69" s="3">
        <v>67.0</v>
      </c>
      <c r="B69" s="3">
        <v>15511.0</v>
      </c>
      <c r="C69" s="3">
        <v>2.0</v>
      </c>
      <c r="D69" s="3">
        <v>227.0</v>
      </c>
      <c r="E69" s="3"/>
    </row>
    <row r="70">
      <c r="A70" s="3">
        <v>68.0</v>
      </c>
      <c r="B70" s="3">
        <v>16177.0</v>
      </c>
      <c r="C70" s="3">
        <v>2.0</v>
      </c>
      <c r="D70" s="3">
        <v>202.0</v>
      </c>
      <c r="E70" s="3"/>
    </row>
    <row r="71">
      <c r="A71" s="3">
        <v>69.0</v>
      </c>
      <c r="B71" s="3">
        <v>9664.0</v>
      </c>
      <c r="C71" s="3">
        <v>1.0</v>
      </c>
      <c r="D71" s="3">
        <v>169.0</v>
      </c>
      <c r="E71" s="3"/>
    </row>
    <row r="72">
      <c r="A72" s="3">
        <v>70.0</v>
      </c>
      <c r="B72" s="3">
        <v>37188.0</v>
      </c>
      <c r="C72" s="3">
        <v>3.0</v>
      </c>
      <c r="D72" s="3">
        <v>378.0</v>
      </c>
      <c r="E72" s="3"/>
    </row>
    <row r="73">
      <c r="A73" s="3">
        <v>71.0</v>
      </c>
      <c r="B73" s="3">
        <v>6373.0</v>
      </c>
      <c r="C73" s="3">
        <v>2.0</v>
      </c>
      <c r="D73" s="3">
        <v>89.0</v>
      </c>
      <c r="E73" s="3"/>
    </row>
    <row r="74">
      <c r="A74" s="3">
        <v>72.0</v>
      </c>
      <c r="B74" s="3">
        <v>7042.0</v>
      </c>
      <c r="C74" s="3">
        <v>2.0</v>
      </c>
      <c r="D74" s="3">
        <v>91.0</v>
      </c>
      <c r="E74" s="3"/>
    </row>
    <row r="75">
      <c r="A75" s="3">
        <v>73.0</v>
      </c>
      <c r="B75" s="3">
        <v>4052.0</v>
      </c>
      <c r="C75" s="3">
        <v>1.0</v>
      </c>
      <c r="D75" s="3">
        <v>80.0</v>
      </c>
      <c r="E75" s="3"/>
    </row>
    <row r="76">
      <c r="A76" s="3">
        <v>74.0</v>
      </c>
      <c r="B76" s="3">
        <v>23131.0</v>
      </c>
      <c r="C76" s="3">
        <v>3.0</v>
      </c>
      <c r="D76" s="3">
        <v>236.0</v>
      </c>
      <c r="E76" s="3"/>
    </row>
    <row r="77">
      <c r="A77" s="3">
        <v>75.0</v>
      </c>
      <c r="B77" s="3">
        <v>6491.0</v>
      </c>
      <c r="C77" s="3">
        <v>1.0</v>
      </c>
      <c r="D77" s="3">
        <v>121.0</v>
      </c>
      <c r="E77" s="3"/>
    </row>
    <row r="78">
      <c r="A78" s="3">
        <v>76.0</v>
      </c>
      <c r="B78" s="3">
        <v>5288.0</v>
      </c>
      <c r="C78" s="3">
        <v>2.0</v>
      </c>
      <c r="D78" s="3">
        <v>75.0</v>
      </c>
      <c r="E78" s="3"/>
    </row>
    <row r="79">
      <c r="A79" s="3">
        <v>77.0</v>
      </c>
      <c r="B79" s="3">
        <v>16206.0</v>
      </c>
      <c r="C79" s="3">
        <v>2.0</v>
      </c>
      <c r="D79" s="3">
        <v>187.0</v>
      </c>
      <c r="E79" s="3"/>
    </row>
    <row r="80">
      <c r="A80" s="3">
        <v>78.0</v>
      </c>
      <c r="B80" s="3">
        <v>24544.0</v>
      </c>
      <c r="C80" s="3">
        <v>2.0</v>
      </c>
      <c r="D80" s="3">
        <v>168.0</v>
      </c>
      <c r="E80" s="3"/>
    </row>
    <row r="81">
      <c r="A81" s="3">
        <v>79.0</v>
      </c>
      <c r="B81" s="3">
        <v>4273.0</v>
      </c>
      <c r="C81" s="3">
        <v>1.0</v>
      </c>
      <c r="D81" s="3">
        <v>42.0</v>
      </c>
      <c r="E81" s="3"/>
    </row>
    <row r="82">
      <c r="A82" s="3">
        <v>80.0</v>
      </c>
      <c r="B82" s="3">
        <v>15773.0</v>
      </c>
      <c r="C82" s="3">
        <v>1.0</v>
      </c>
      <c r="D82" s="3">
        <v>88.0</v>
      </c>
      <c r="E82" s="3"/>
    </row>
    <row r="83">
      <c r="A83" s="3">
        <v>81.0</v>
      </c>
      <c r="B83" s="3">
        <v>4027.0</v>
      </c>
      <c r="C83" s="3">
        <v>1.0</v>
      </c>
      <c r="D83" s="3">
        <v>71.0</v>
      </c>
      <c r="E83" s="3"/>
    </row>
    <row r="84">
      <c r="A84" s="3">
        <v>82.0</v>
      </c>
      <c r="B84" s="3">
        <v>20056.0</v>
      </c>
      <c r="C84" s="3">
        <v>3.0</v>
      </c>
      <c r="D84" s="3">
        <v>345.0</v>
      </c>
      <c r="E84" s="3"/>
    </row>
    <row r="85">
      <c r="A85" s="3">
        <v>83.0</v>
      </c>
      <c r="B85" s="3">
        <v>18185.0</v>
      </c>
      <c r="C85" s="3">
        <v>2.0</v>
      </c>
      <c r="D85" s="3">
        <v>325.0</v>
      </c>
      <c r="E85" s="3"/>
    </row>
    <row r="86">
      <c r="A86" s="3">
        <v>84.0</v>
      </c>
      <c r="B86" s="3">
        <v>12557.0</v>
      </c>
      <c r="C86" s="3">
        <v>2.0</v>
      </c>
      <c r="D86" s="3">
        <v>181.0</v>
      </c>
      <c r="E86" s="3"/>
    </row>
    <row r="87">
      <c r="A87" s="3">
        <v>85.0</v>
      </c>
      <c r="B87" s="3">
        <v>19180.0</v>
      </c>
      <c r="C87" s="3">
        <v>2.0</v>
      </c>
      <c r="D87" s="3">
        <v>211.0</v>
      </c>
      <c r="E87" s="3"/>
    </row>
    <row r="88">
      <c r="A88" s="3">
        <v>86.0</v>
      </c>
      <c r="B88" s="3">
        <v>21152.0</v>
      </c>
      <c r="C88" s="3">
        <v>2.0</v>
      </c>
      <c r="D88" s="3">
        <v>383.0</v>
      </c>
      <c r="E88" s="3"/>
    </row>
    <row r="89">
      <c r="A89" s="3">
        <v>87.0</v>
      </c>
      <c r="B89" s="3">
        <v>3677.0</v>
      </c>
      <c r="C89" s="3">
        <v>1.0</v>
      </c>
      <c r="D89" s="3">
        <v>21.0</v>
      </c>
      <c r="E89" s="3"/>
    </row>
    <row r="90">
      <c r="A90" s="3">
        <v>88.0</v>
      </c>
      <c r="B90" s="3">
        <v>12989.0</v>
      </c>
      <c r="C90" s="3">
        <v>3.0</v>
      </c>
      <c r="D90" s="3">
        <v>128.0</v>
      </c>
      <c r="E90" s="3"/>
    </row>
    <row r="91">
      <c r="A91" s="3">
        <v>89.0</v>
      </c>
      <c r="B91" s="3">
        <v>19454.0</v>
      </c>
      <c r="C91" s="3">
        <v>3.0</v>
      </c>
      <c r="D91" s="3">
        <v>285.0</v>
      </c>
      <c r="E91" s="3"/>
    </row>
    <row r="92">
      <c r="A92" s="3">
        <v>90.0</v>
      </c>
      <c r="B92" s="3">
        <v>20858.0</v>
      </c>
      <c r="C92" s="3">
        <v>3.0</v>
      </c>
      <c r="D92" s="3">
        <v>191.0</v>
      </c>
      <c r="E92" s="3"/>
    </row>
    <row r="93">
      <c r="A93" s="3">
        <v>91.0</v>
      </c>
      <c r="B93" s="3">
        <v>6389.0</v>
      </c>
      <c r="C93" s="3">
        <v>1.0</v>
      </c>
      <c r="D93" s="3">
        <v>96.0</v>
      </c>
      <c r="E93" s="3"/>
    </row>
    <row r="94">
      <c r="A94" s="3">
        <v>92.0</v>
      </c>
      <c r="B94" s="3">
        <v>28552.0</v>
      </c>
      <c r="C94" s="3">
        <v>3.0</v>
      </c>
      <c r="D94" s="3">
        <v>447.0</v>
      </c>
      <c r="E94" s="3"/>
    </row>
    <row r="95">
      <c r="A95" s="3">
        <v>93.0</v>
      </c>
      <c r="B95" s="3">
        <v>30176.0</v>
      </c>
      <c r="C95" s="3">
        <v>3.0</v>
      </c>
      <c r="D95" s="3">
        <v>340.0</v>
      </c>
      <c r="E95" s="3"/>
    </row>
    <row r="96">
      <c r="A96" s="3">
        <v>94.0</v>
      </c>
      <c r="B96" s="3">
        <v>4060.0</v>
      </c>
      <c r="C96" s="3">
        <v>1.0</v>
      </c>
      <c r="D96" s="3">
        <v>60.0</v>
      </c>
      <c r="E96" s="3"/>
    </row>
    <row r="97">
      <c r="A97" s="3">
        <v>95.0</v>
      </c>
      <c r="B97" s="3">
        <v>3771.0</v>
      </c>
      <c r="C97" s="3">
        <v>2.0</v>
      </c>
      <c r="D97" s="3">
        <v>59.0</v>
      </c>
      <c r="E97" s="3"/>
    </row>
    <row r="98">
      <c r="A98" s="3">
        <v>96.0</v>
      </c>
      <c r="B98" s="3">
        <v>8729.0</v>
      </c>
      <c r="C98" s="3">
        <v>2.0</v>
      </c>
      <c r="D98" s="3">
        <v>122.0</v>
      </c>
      <c r="E98" s="3"/>
    </row>
    <row r="99">
      <c r="A99" s="3">
        <v>97.0</v>
      </c>
      <c r="B99" s="3">
        <v>19417.0</v>
      </c>
      <c r="C99" s="3">
        <v>2.0</v>
      </c>
      <c r="D99" s="3">
        <v>270.0</v>
      </c>
      <c r="E99" s="3"/>
    </row>
    <row r="100">
      <c r="A100" s="3">
        <v>98.0</v>
      </c>
      <c r="B100" s="3">
        <v>27482.0</v>
      </c>
      <c r="C100" s="3">
        <v>3.0</v>
      </c>
      <c r="D100" s="3">
        <v>253.0</v>
      </c>
      <c r="E100" s="3"/>
    </row>
    <row r="101">
      <c r="A101" s="3">
        <v>99.0</v>
      </c>
      <c r="B101" s="3">
        <v>6616.0</v>
      </c>
      <c r="C101" s="3">
        <v>2.0</v>
      </c>
      <c r="D101" s="3">
        <v>63.0</v>
      </c>
      <c r="E101" s="3"/>
    </row>
    <row r="102">
      <c r="A102" s="3">
        <v>100.0</v>
      </c>
      <c r="B102" s="3">
        <v>17482.0</v>
      </c>
      <c r="C102" s="3">
        <v>3.0</v>
      </c>
      <c r="D102" s="3">
        <v>279.0</v>
      </c>
      <c r="E102" s="3"/>
    </row>
    <row r="103">
      <c r="A103" s="3">
        <v>101.0</v>
      </c>
      <c r="B103" s="3">
        <v>4727.0</v>
      </c>
      <c r="C103" s="3">
        <v>1.0</v>
      </c>
      <c r="D103" s="3">
        <v>63.0</v>
      </c>
      <c r="E103" s="3"/>
    </row>
    <row r="104">
      <c r="A104" s="3">
        <v>102.0</v>
      </c>
      <c r="B104" s="3">
        <v>32850.0</v>
      </c>
      <c r="C104" s="3">
        <v>3.0</v>
      </c>
      <c r="D104" s="3">
        <v>341.0</v>
      </c>
      <c r="E104" s="3"/>
    </row>
    <row r="105">
      <c r="A105" s="3">
        <v>103.0</v>
      </c>
      <c r="B105" s="3">
        <v>8293.0</v>
      </c>
      <c r="C105" s="3">
        <v>3.0</v>
      </c>
      <c r="D105" s="3">
        <v>105.0</v>
      </c>
      <c r="E105" s="3"/>
    </row>
    <row r="106">
      <c r="A106" s="3">
        <v>104.0</v>
      </c>
      <c r="B106" s="3">
        <v>17654.0</v>
      </c>
      <c r="C106" s="3">
        <v>2.0</v>
      </c>
      <c r="D106" s="3">
        <v>147.0</v>
      </c>
      <c r="E106" s="3"/>
    </row>
    <row r="107">
      <c r="A107" s="3">
        <v>105.0</v>
      </c>
      <c r="B107" s="3">
        <v>9365.0</v>
      </c>
      <c r="C107" s="3">
        <v>3.0</v>
      </c>
      <c r="D107" s="3">
        <v>115.0</v>
      </c>
      <c r="E107" s="3"/>
    </row>
    <row r="108">
      <c r="A108" s="3">
        <v>106.0</v>
      </c>
      <c r="B108" s="3">
        <v>9464.0</v>
      </c>
      <c r="C108" s="3">
        <v>1.0</v>
      </c>
      <c r="D108" s="3">
        <v>136.0</v>
      </c>
      <c r="E108" s="3"/>
    </row>
    <row r="109">
      <c r="A109" s="3">
        <v>107.0</v>
      </c>
      <c r="B109" s="3">
        <v>4321.0</v>
      </c>
      <c r="C109" s="3">
        <v>1.0</v>
      </c>
      <c r="D109" s="3">
        <v>29.0</v>
      </c>
      <c r="E109" s="3"/>
    </row>
    <row r="110">
      <c r="A110" s="3">
        <v>108.0</v>
      </c>
      <c r="B110" s="3">
        <v>6229.0</v>
      </c>
      <c r="C110" s="3">
        <v>1.0</v>
      </c>
      <c r="D110" s="3">
        <v>61.0</v>
      </c>
      <c r="E110" s="3"/>
    </row>
    <row r="111">
      <c r="A111" s="3">
        <v>109.0</v>
      </c>
      <c r="B111" s="3">
        <v>46433.0</v>
      </c>
      <c r="C111" s="3">
        <v>3.0</v>
      </c>
      <c r="D111" s="3">
        <v>540.0</v>
      </c>
      <c r="E111" s="3"/>
    </row>
    <row r="112">
      <c r="A112" s="3">
        <v>110.0</v>
      </c>
      <c r="B112" s="3">
        <v>27254.0</v>
      </c>
      <c r="C112" s="3">
        <v>3.0</v>
      </c>
      <c r="D112" s="3">
        <v>414.0</v>
      </c>
      <c r="E112" s="3"/>
    </row>
    <row r="113">
      <c r="A113" s="3">
        <v>111.0</v>
      </c>
      <c r="B113" s="3">
        <v>18039.0</v>
      </c>
      <c r="C113" s="3">
        <v>2.0</v>
      </c>
      <c r="D113" s="3">
        <v>140.0</v>
      </c>
      <c r="E113" s="3"/>
    </row>
    <row r="114">
      <c r="A114" s="3">
        <v>112.0</v>
      </c>
      <c r="B114" s="3">
        <v>3994.0</v>
      </c>
      <c r="C114" s="3">
        <v>1.0</v>
      </c>
      <c r="D114" s="3">
        <v>59.0</v>
      </c>
      <c r="E114" s="3"/>
    </row>
    <row r="115">
      <c r="A115" s="3">
        <v>113.0</v>
      </c>
      <c r="B115" s="3">
        <v>3919.0</v>
      </c>
      <c r="C115" s="3">
        <v>2.0</v>
      </c>
      <c r="D115" s="3">
        <v>48.0</v>
      </c>
      <c r="E115" s="3"/>
    </row>
    <row r="116">
      <c r="A116" s="3">
        <v>114.0</v>
      </c>
      <c r="B116" s="3">
        <v>10327.0</v>
      </c>
      <c r="C116" s="3">
        <v>2.0</v>
      </c>
      <c r="D116" s="3">
        <v>98.0</v>
      </c>
      <c r="E116" s="3"/>
    </row>
    <row r="117">
      <c r="A117" s="3">
        <v>115.0</v>
      </c>
      <c r="B117" s="3">
        <v>3906.0</v>
      </c>
      <c r="C117" s="3">
        <v>1.0</v>
      </c>
      <c r="D117" s="3">
        <v>49.0</v>
      </c>
      <c r="E117" s="3"/>
    </row>
    <row r="118">
      <c r="A118" s="3">
        <v>116.0</v>
      </c>
      <c r="B118" s="3">
        <v>20328.0</v>
      </c>
      <c r="C118" s="3">
        <v>2.0</v>
      </c>
      <c r="D118" s="3">
        <v>232.0</v>
      </c>
      <c r="E118" s="3"/>
    </row>
    <row r="119">
      <c r="A119" s="3">
        <v>117.0</v>
      </c>
      <c r="B119" s="3">
        <v>6646.0</v>
      </c>
      <c r="C119" s="3">
        <v>1.0</v>
      </c>
      <c r="D119" s="3">
        <v>99.0</v>
      </c>
      <c r="E119" s="3"/>
    </row>
    <row r="120">
      <c r="A120" s="3">
        <v>118.0</v>
      </c>
      <c r="B120" s="3">
        <v>12886.0</v>
      </c>
      <c r="C120" s="3">
        <v>2.0</v>
      </c>
      <c r="D120" s="3">
        <v>203.0</v>
      </c>
      <c r="E120" s="3"/>
    </row>
    <row r="121">
      <c r="A121" s="3">
        <v>119.0</v>
      </c>
      <c r="B121" s="3">
        <v>24930.0</v>
      </c>
      <c r="C121" s="3">
        <v>3.0</v>
      </c>
      <c r="D121" s="3">
        <v>243.0</v>
      </c>
      <c r="E121" s="3"/>
    </row>
    <row r="122">
      <c r="A122" s="3">
        <v>120.0</v>
      </c>
      <c r="B122" s="3">
        <v>3988.0</v>
      </c>
      <c r="C122" s="3">
        <v>2.0</v>
      </c>
      <c r="D122" s="3">
        <v>23.0</v>
      </c>
      <c r="E122" s="3"/>
    </row>
    <row r="123">
      <c r="A123" s="3">
        <v>121.0</v>
      </c>
      <c r="B123" s="3">
        <v>34980.0</v>
      </c>
      <c r="C123" s="3">
        <v>3.0</v>
      </c>
      <c r="D123" s="3">
        <v>602.0</v>
      </c>
      <c r="E123" s="3"/>
    </row>
    <row r="124">
      <c r="A124" s="3">
        <v>122.0</v>
      </c>
      <c r="B124" s="3">
        <v>29075.0</v>
      </c>
      <c r="C124" s="3">
        <v>2.0</v>
      </c>
      <c r="D124" s="3">
        <v>216.0</v>
      </c>
      <c r="E124" s="3"/>
    </row>
    <row r="125">
      <c r="A125" s="3">
        <v>123.0</v>
      </c>
      <c r="B125" s="3">
        <v>16457.0</v>
      </c>
      <c r="C125" s="3">
        <v>2.0</v>
      </c>
      <c r="D125" s="3">
        <v>245.0</v>
      </c>
      <c r="E125" s="3"/>
    </row>
    <row r="126">
      <c r="A126" s="3">
        <v>124.0</v>
      </c>
      <c r="B126" s="3">
        <v>7421.0</v>
      </c>
      <c r="C126" s="3">
        <v>2.0</v>
      </c>
      <c r="D126" s="3">
        <v>105.0</v>
      </c>
      <c r="E126" s="3"/>
    </row>
    <row r="127">
      <c r="A127" s="3">
        <v>125.0</v>
      </c>
      <c r="B127" s="3">
        <v>15824.0</v>
      </c>
      <c r="C127" s="3">
        <v>1.0</v>
      </c>
      <c r="D127" s="3">
        <v>203.0</v>
      </c>
      <c r="E127" s="3"/>
    </row>
    <row r="128">
      <c r="A128" s="3">
        <v>126.0</v>
      </c>
      <c r="B128" s="3">
        <v>8709.0</v>
      </c>
      <c r="C128" s="3">
        <v>2.0</v>
      </c>
      <c r="D128" s="3">
        <v>88.0</v>
      </c>
      <c r="E128" s="3"/>
    </row>
    <row r="129">
      <c r="A129" s="3">
        <v>127.0</v>
      </c>
      <c r="B129" s="3">
        <v>8416.0</v>
      </c>
      <c r="C129" s="3">
        <v>1.0</v>
      </c>
      <c r="D129" s="3">
        <v>144.0</v>
      </c>
      <c r="E129" s="3"/>
    </row>
    <row r="130">
      <c r="A130" s="3">
        <v>128.0</v>
      </c>
      <c r="B130" s="3">
        <v>31954.0</v>
      </c>
      <c r="C130" s="3">
        <v>3.0</v>
      </c>
      <c r="D130" s="3">
        <v>395.0</v>
      </c>
      <c r="E130" s="3"/>
    </row>
    <row r="131">
      <c r="A131" s="3">
        <v>129.0</v>
      </c>
      <c r="B131" s="3">
        <v>28084.0</v>
      </c>
      <c r="C131" s="3">
        <v>3.0</v>
      </c>
      <c r="D131" s="3">
        <v>463.0</v>
      </c>
      <c r="E131" s="3"/>
    </row>
    <row r="132">
      <c r="A132" s="3">
        <v>130.0</v>
      </c>
      <c r="B132" s="3">
        <v>4218.0</v>
      </c>
      <c r="C132" s="3">
        <v>1.0</v>
      </c>
      <c r="D132" s="3">
        <v>38.0</v>
      </c>
      <c r="E132" s="3"/>
    </row>
    <row r="133">
      <c r="A133" s="3">
        <v>131.0</v>
      </c>
      <c r="B133" s="3">
        <v>20864.0</v>
      </c>
      <c r="C133" s="3">
        <v>2.0</v>
      </c>
      <c r="D133" s="3">
        <v>141.0</v>
      </c>
      <c r="E133" s="3"/>
    </row>
    <row r="134">
      <c r="A134" s="3">
        <v>132.0</v>
      </c>
      <c r="B134" s="3">
        <v>16610.0</v>
      </c>
      <c r="C134" s="3">
        <v>1.0</v>
      </c>
      <c r="D134" s="3">
        <v>282.0</v>
      </c>
      <c r="E134" s="3"/>
    </row>
    <row r="135">
      <c r="A135" s="3">
        <v>133.0</v>
      </c>
      <c r="B135" s="3">
        <v>26074.0</v>
      </c>
      <c r="C135" s="3">
        <v>3.0</v>
      </c>
      <c r="D135" s="3">
        <v>241.0</v>
      </c>
      <c r="E135" s="3"/>
    </row>
    <row r="136">
      <c r="A136" s="3">
        <v>134.0</v>
      </c>
      <c r="B136" s="3">
        <v>23397.0</v>
      </c>
      <c r="C136" s="3">
        <v>3.0</v>
      </c>
      <c r="D136" s="3">
        <v>394.0</v>
      </c>
      <c r="E136" s="3"/>
    </row>
    <row r="137">
      <c r="A137" s="3">
        <v>135.0</v>
      </c>
      <c r="B137" s="3">
        <v>3943.0</v>
      </c>
      <c r="C137" s="3">
        <v>1.0</v>
      </c>
      <c r="D137" s="3">
        <v>69.0</v>
      </c>
      <c r="E137" s="3"/>
    </row>
    <row r="138">
      <c r="A138" s="3">
        <v>136.0</v>
      </c>
      <c r="B138" s="3">
        <v>6572.0</v>
      </c>
      <c r="C138" s="3">
        <v>2.0</v>
      </c>
      <c r="D138" s="3">
        <v>110.0</v>
      </c>
      <c r="E138" s="3"/>
    </row>
    <row r="139">
      <c r="A139" s="3">
        <v>137.0</v>
      </c>
      <c r="B139" s="3">
        <v>17441.0</v>
      </c>
      <c r="C139" s="3">
        <v>2.0</v>
      </c>
      <c r="D139" s="3">
        <v>292.0</v>
      </c>
      <c r="E139" s="3"/>
    </row>
    <row r="140">
      <c r="A140" s="3">
        <v>138.0</v>
      </c>
      <c r="B140" s="3">
        <v>20645.0</v>
      </c>
      <c r="C140" s="3">
        <v>2.0</v>
      </c>
      <c r="D140" s="3">
        <v>208.0</v>
      </c>
      <c r="E140" s="3"/>
    </row>
    <row r="141">
      <c r="A141" s="3">
        <v>139.0</v>
      </c>
      <c r="B141" s="3">
        <v>5558.0</v>
      </c>
      <c r="C141" s="3">
        <v>1.0</v>
      </c>
      <c r="D141" s="3">
        <v>105.0</v>
      </c>
      <c r="E141" s="3"/>
    </row>
    <row r="142">
      <c r="A142" s="3">
        <v>140.0</v>
      </c>
      <c r="B142" s="3">
        <v>18432.0</v>
      </c>
      <c r="C142" s="3">
        <v>3.0</v>
      </c>
      <c r="D142" s="3">
        <v>244.0</v>
      </c>
      <c r="E142" s="3"/>
    </row>
    <row r="143">
      <c r="A143" s="3">
        <v>141.0</v>
      </c>
      <c r="B143" s="3">
        <v>8374.0</v>
      </c>
      <c r="C143" s="3">
        <v>2.0</v>
      </c>
      <c r="D143" s="3">
        <v>75.0</v>
      </c>
      <c r="E143" s="3"/>
    </row>
    <row r="144">
      <c r="A144" s="3">
        <v>142.0</v>
      </c>
      <c r="B144" s="3">
        <v>18663.0</v>
      </c>
      <c r="C144" s="3">
        <v>3.0</v>
      </c>
      <c r="D144" s="3">
        <v>325.0</v>
      </c>
      <c r="E144" s="3"/>
    </row>
    <row r="145">
      <c r="A145" s="3">
        <v>143.0</v>
      </c>
      <c r="B145" s="3">
        <v>5820.0</v>
      </c>
      <c r="C145" s="3">
        <v>2.0</v>
      </c>
      <c r="D145" s="3">
        <v>72.0</v>
      </c>
      <c r="E145" s="3"/>
    </row>
    <row r="146">
      <c r="A146" s="3">
        <v>144.0</v>
      </c>
      <c r="B146" s="3">
        <v>26002.0</v>
      </c>
      <c r="C146" s="3">
        <v>3.0</v>
      </c>
      <c r="D146" s="3">
        <v>247.0</v>
      </c>
      <c r="E146" s="3"/>
    </row>
    <row r="147">
      <c r="A147" s="3">
        <v>145.0</v>
      </c>
      <c r="B147" s="3">
        <v>14472.0</v>
      </c>
      <c r="C147" s="3">
        <v>1.0</v>
      </c>
      <c r="D147" s="3">
        <v>261.0</v>
      </c>
      <c r="E147" s="3"/>
    </row>
    <row r="148">
      <c r="A148" s="3">
        <v>146.0</v>
      </c>
      <c r="B148" s="3">
        <v>15795.0</v>
      </c>
      <c r="C148" s="3">
        <v>1.0</v>
      </c>
      <c r="D148" s="3">
        <v>127.0</v>
      </c>
      <c r="E148" s="3"/>
    </row>
    <row r="149">
      <c r="A149" s="3">
        <v>147.0</v>
      </c>
      <c r="B149" s="3">
        <v>5673.0</v>
      </c>
      <c r="C149" s="3">
        <v>2.0</v>
      </c>
      <c r="D149" s="3">
        <v>102.0</v>
      </c>
      <c r="E149" s="3"/>
    </row>
    <row r="150">
      <c r="A150" s="3">
        <v>148.0</v>
      </c>
      <c r="B150" s="3">
        <v>4407.0</v>
      </c>
      <c r="C150" s="3">
        <v>1.0</v>
      </c>
      <c r="D150" s="3">
        <v>63.0</v>
      </c>
      <c r="E150" s="3"/>
    </row>
    <row r="151">
      <c r="A151" s="3">
        <v>149.0</v>
      </c>
      <c r="B151" s="3">
        <v>5100.0</v>
      </c>
      <c r="C151" s="3">
        <v>1.0</v>
      </c>
      <c r="D151" s="3">
        <v>43.0</v>
      </c>
      <c r="E151" s="3"/>
    </row>
    <row r="152">
      <c r="A152" s="3">
        <v>150.0</v>
      </c>
      <c r="B152" s="3">
        <v>28223.0</v>
      </c>
      <c r="C152" s="3">
        <v>3.0</v>
      </c>
      <c r="D152" s="3">
        <v>381.0</v>
      </c>
      <c r="E152" s="3"/>
    </row>
    <row r="153">
      <c r="A153" s="3">
        <v>151.0</v>
      </c>
      <c r="B153" s="3">
        <v>6663.0</v>
      </c>
      <c r="C153" s="3">
        <v>1.0</v>
      </c>
      <c r="D153" s="3">
        <v>56.0</v>
      </c>
      <c r="E153" s="3"/>
    </row>
    <row r="154">
      <c r="A154" s="3">
        <v>152.0</v>
      </c>
      <c r="B154" s="3">
        <v>31877.0</v>
      </c>
      <c r="C154" s="3">
        <v>3.0</v>
      </c>
      <c r="D154" s="3">
        <v>304.0</v>
      </c>
      <c r="E154" s="3"/>
    </row>
    <row r="155">
      <c r="A155" s="3">
        <v>153.0</v>
      </c>
      <c r="B155" s="3">
        <v>9918.0</v>
      </c>
      <c r="C155" s="3">
        <v>1.0</v>
      </c>
      <c r="D155" s="3">
        <v>190.0</v>
      </c>
      <c r="E155" s="3"/>
    </row>
    <row r="156">
      <c r="A156" s="3">
        <v>154.0</v>
      </c>
      <c r="B156" s="3">
        <v>29611.0</v>
      </c>
      <c r="C156" s="3">
        <v>3.0</v>
      </c>
      <c r="D156" s="3">
        <v>381.0</v>
      </c>
      <c r="E156" s="3"/>
    </row>
    <row r="157">
      <c r="A157" s="3">
        <v>155.0</v>
      </c>
      <c r="B157" s="3">
        <v>14147.0</v>
      </c>
      <c r="C157" s="3">
        <v>2.0</v>
      </c>
      <c r="D157" s="3">
        <v>185.0</v>
      </c>
      <c r="E157" s="3"/>
    </row>
    <row r="158">
      <c r="A158" s="3">
        <v>156.0</v>
      </c>
      <c r="B158" s="3">
        <v>10868.0</v>
      </c>
      <c r="C158" s="3">
        <v>2.0</v>
      </c>
      <c r="D158" s="3">
        <v>84.0</v>
      </c>
      <c r="E158" s="3"/>
    </row>
    <row r="159">
      <c r="A159" s="3">
        <v>157.0</v>
      </c>
      <c r="B159" s="3">
        <v>13752.0</v>
      </c>
      <c r="C159" s="3">
        <v>1.0</v>
      </c>
      <c r="D159" s="3">
        <v>169.0</v>
      </c>
      <c r="E159" s="3"/>
    </row>
    <row r="160">
      <c r="A160" s="3">
        <v>158.0</v>
      </c>
      <c r="B160" s="3">
        <v>12034.0</v>
      </c>
      <c r="C160" s="3">
        <v>1.0</v>
      </c>
      <c r="D160" s="3">
        <v>205.0</v>
      </c>
      <c r="E160" s="3"/>
    </row>
    <row r="161">
      <c r="A161" s="3">
        <v>159.0</v>
      </c>
      <c r="B161" s="3">
        <v>7014.0</v>
      </c>
      <c r="C161" s="3">
        <v>1.0</v>
      </c>
      <c r="D161" s="3">
        <v>81.0</v>
      </c>
      <c r="E161" s="3"/>
    </row>
    <row r="162">
      <c r="A162" s="3">
        <v>160.0</v>
      </c>
      <c r="B162" s="3">
        <v>20859.0</v>
      </c>
      <c r="C162" s="3">
        <v>3.0</v>
      </c>
      <c r="D162" s="3">
        <v>213.0</v>
      </c>
      <c r="E162" s="3"/>
    </row>
    <row r="163">
      <c r="A163" s="3">
        <v>161.0</v>
      </c>
      <c r="B163" s="3">
        <v>3819.0</v>
      </c>
      <c r="C163" s="3">
        <v>1.0</v>
      </c>
      <c r="D163" s="3">
        <v>52.0</v>
      </c>
      <c r="E163" s="3"/>
    </row>
    <row r="164">
      <c r="A164" s="3">
        <v>162.0</v>
      </c>
      <c r="B164" s="3">
        <v>35303.0</v>
      </c>
      <c r="C164" s="3">
        <v>3.0</v>
      </c>
      <c r="D164" s="3">
        <v>239.0</v>
      </c>
      <c r="E164" s="3"/>
    </row>
    <row r="165">
      <c r="A165" s="3">
        <v>163.0</v>
      </c>
      <c r="B165" s="3">
        <v>17812.0</v>
      </c>
      <c r="C165" s="3">
        <v>2.0</v>
      </c>
      <c r="D165" s="3">
        <v>198.0</v>
      </c>
      <c r="E165" s="3"/>
    </row>
    <row r="166">
      <c r="A166" s="3">
        <v>164.0</v>
      </c>
      <c r="B166" s="3">
        <v>3829.0</v>
      </c>
      <c r="C166" s="3">
        <v>1.0</v>
      </c>
      <c r="D166" s="3">
        <v>39.0</v>
      </c>
      <c r="E166" s="3"/>
    </row>
    <row r="167">
      <c r="A167" s="3">
        <v>165.0</v>
      </c>
      <c r="B167" s="3">
        <v>4949.0</v>
      </c>
      <c r="C167" s="3">
        <v>1.0</v>
      </c>
      <c r="D167" s="3">
        <v>83.0</v>
      </c>
      <c r="E167" s="3"/>
    </row>
    <row r="168">
      <c r="A168" s="3">
        <v>166.0</v>
      </c>
      <c r="B168" s="3">
        <v>8579.0</v>
      </c>
      <c r="C168" s="3">
        <v>1.0</v>
      </c>
      <c r="D168" s="3">
        <v>67.0</v>
      </c>
      <c r="E168" s="3"/>
    </row>
    <row r="169">
      <c r="A169" s="3">
        <v>167.0</v>
      </c>
      <c r="B169" s="3">
        <v>29151.0</v>
      </c>
      <c r="C169" s="3">
        <v>3.0</v>
      </c>
      <c r="D169" s="3">
        <v>275.0</v>
      </c>
      <c r="E169" s="3"/>
    </row>
    <row r="170">
      <c r="A170" s="3">
        <v>168.0</v>
      </c>
      <c r="B170" s="3">
        <v>34833.0</v>
      </c>
      <c r="C170" s="3">
        <v>3.0</v>
      </c>
      <c r="D170" s="3">
        <v>604.0</v>
      </c>
      <c r="E170" s="3"/>
    </row>
    <row r="171">
      <c r="A171" s="3">
        <v>169.0</v>
      </c>
      <c r="B171" s="3">
        <v>26308.0</v>
      </c>
      <c r="C171" s="3">
        <v>2.0</v>
      </c>
      <c r="D171" s="3">
        <v>268.0</v>
      </c>
      <c r="E171" s="3"/>
    </row>
    <row r="172">
      <c r="A172" s="3">
        <v>170.0</v>
      </c>
      <c r="B172" s="3">
        <v>35528.0</v>
      </c>
      <c r="C172" s="3">
        <v>3.0</v>
      </c>
      <c r="D172" s="3">
        <v>508.0</v>
      </c>
      <c r="E172" s="3"/>
    </row>
    <row r="173">
      <c r="A173" s="3">
        <v>171.0</v>
      </c>
      <c r="B173" s="3">
        <v>12899.0</v>
      </c>
      <c r="C173" s="3">
        <v>1.0</v>
      </c>
      <c r="D173" s="3">
        <v>230.0</v>
      </c>
      <c r="E173" s="3"/>
    </row>
    <row r="174">
      <c r="A174" s="3">
        <v>172.0</v>
      </c>
      <c r="B174" s="3">
        <v>5562.0</v>
      </c>
      <c r="C174" s="3">
        <v>2.0</v>
      </c>
      <c r="D174" s="3">
        <v>91.0</v>
      </c>
      <c r="E174" s="3"/>
    </row>
    <row r="175">
      <c r="A175" s="3">
        <v>173.0</v>
      </c>
      <c r="B175" s="3">
        <v>19297.0</v>
      </c>
      <c r="C175" s="3">
        <v>3.0</v>
      </c>
      <c r="D175" s="3">
        <v>204.0</v>
      </c>
      <c r="E175" s="3"/>
    </row>
    <row r="176">
      <c r="A176" s="3">
        <v>174.0</v>
      </c>
      <c r="B176" s="3">
        <v>27811.0</v>
      </c>
      <c r="C176" s="3">
        <v>3.0</v>
      </c>
      <c r="D176" s="3">
        <v>196.0</v>
      </c>
      <c r="E176" s="3"/>
    </row>
    <row r="177">
      <c r="A177" s="3">
        <v>175.0</v>
      </c>
      <c r="B177" s="3">
        <v>23438.0</v>
      </c>
      <c r="C177" s="3">
        <v>2.0</v>
      </c>
      <c r="D177" s="3">
        <v>346.0</v>
      </c>
      <c r="E177" s="3"/>
    </row>
    <row r="178">
      <c r="A178" s="3">
        <v>176.0</v>
      </c>
      <c r="B178" s="3">
        <v>4299.0</v>
      </c>
      <c r="C178" s="3">
        <v>1.0</v>
      </c>
      <c r="D178" s="3">
        <v>31.0</v>
      </c>
      <c r="E178" s="3"/>
    </row>
    <row r="179">
      <c r="A179" s="3">
        <v>177.0</v>
      </c>
      <c r="B179" s="3">
        <v>10592.0</v>
      </c>
      <c r="C179" s="3">
        <v>1.0</v>
      </c>
      <c r="D179" s="3">
        <v>210.0</v>
      </c>
      <c r="E179" s="3"/>
    </row>
    <row r="180">
      <c r="A180" s="3">
        <v>178.0</v>
      </c>
      <c r="B180" s="3">
        <v>3963.0</v>
      </c>
      <c r="C180" s="3">
        <v>1.0</v>
      </c>
      <c r="D180" s="3">
        <v>23.0</v>
      </c>
      <c r="E180" s="3"/>
    </row>
    <row r="181">
      <c r="A181" s="3">
        <v>179.0</v>
      </c>
      <c r="B181" s="3">
        <v>30869.0</v>
      </c>
      <c r="C181" s="3">
        <v>3.0</v>
      </c>
      <c r="D181" s="3">
        <v>401.0</v>
      </c>
      <c r="E181" s="3"/>
    </row>
    <row r="182">
      <c r="A182" s="3">
        <v>180.0</v>
      </c>
      <c r="B182" s="3">
        <v>10608.0</v>
      </c>
      <c r="C182" s="3">
        <v>1.0</v>
      </c>
      <c r="D182" s="3">
        <v>118.0</v>
      </c>
      <c r="E182" s="3"/>
    </row>
    <row r="183">
      <c r="A183" s="3">
        <v>181.0</v>
      </c>
      <c r="B183" s="3">
        <v>30309.0</v>
      </c>
      <c r="C183" s="3">
        <v>3.0</v>
      </c>
      <c r="D183" s="3">
        <v>402.0</v>
      </c>
      <c r="E183" s="3"/>
    </row>
    <row r="184">
      <c r="A184" s="3">
        <v>182.0</v>
      </c>
      <c r="B184" s="3">
        <v>12327.0</v>
      </c>
      <c r="C184" s="3">
        <v>1.0</v>
      </c>
      <c r="D184" s="3">
        <v>154.0</v>
      </c>
      <c r="E184" s="3"/>
    </row>
    <row r="185">
      <c r="A185" s="3">
        <v>183.0</v>
      </c>
      <c r="B185" s="3">
        <v>15699.0</v>
      </c>
      <c r="C185" s="3">
        <v>1.0</v>
      </c>
      <c r="D185" s="3">
        <v>181.0</v>
      </c>
      <c r="E185" s="3"/>
    </row>
    <row r="186">
      <c r="A186" s="3">
        <v>184.0</v>
      </c>
      <c r="B186" s="3">
        <v>25225.0</v>
      </c>
      <c r="C186" s="3">
        <v>3.0</v>
      </c>
      <c r="D186" s="3">
        <v>231.0</v>
      </c>
      <c r="E186" s="3"/>
    </row>
    <row r="187">
      <c r="A187" s="3">
        <v>185.0</v>
      </c>
      <c r="B187" s="3">
        <v>3747.0</v>
      </c>
      <c r="C187" s="3">
        <v>1.0</v>
      </c>
      <c r="D187" s="3">
        <v>30.0</v>
      </c>
      <c r="E187" s="3"/>
    </row>
    <row r="188">
      <c r="A188" s="3">
        <v>186.0</v>
      </c>
      <c r="B188" s="3">
        <v>18627.0</v>
      </c>
      <c r="C188" s="3">
        <v>2.0</v>
      </c>
      <c r="D188" s="3">
        <v>174.0</v>
      </c>
      <c r="E188" s="3"/>
    </row>
    <row r="189">
      <c r="A189" s="3">
        <v>187.0</v>
      </c>
      <c r="B189" s="3">
        <v>36097.0</v>
      </c>
      <c r="C189" s="3">
        <v>3.0</v>
      </c>
      <c r="D189" s="3">
        <v>559.0</v>
      </c>
      <c r="E189" s="3"/>
    </row>
    <row r="190">
      <c r="A190" s="3">
        <v>188.0</v>
      </c>
      <c r="B190" s="3">
        <v>16124.0</v>
      </c>
      <c r="C190" s="3">
        <v>3.0</v>
      </c>
      <c r="D190" s="3">
        <v>215.0</v>
      </c>
      <c r="E190" s="3"/>
    </row>
    <row r="191">
      <c r="A191" s="3">
        <v>189.0</v>
      </c>
      <c r="B191" s="3">
        <v>22735.0</v>
      </c>
      <c r="C191" s="3">
        <v>3.0</v>
      </c>
      <c r="D191" s="3">
        <v>237.0</v>
      </c>
      <c r="E191" s="3"/>
    </row>
    <row r="192">
      <c r="A192" s="3">
        <v>190.0</v>
      </c>
      <c r="B192" s="3">
        <v>19385.0</v>
      </c>
      <c r="C192" s="3">
        <v>2.0</v>
      </c>
      <c r="D192" s="3">
        <v>307.0</v>
      </c>
      <c r="E192" s="3"/>
    </row>
    <row r="193">
      <c r="A193" s="3">
        <v>191.0</v>
      </c>
      <c r="B193" s="3">
        <v>25088.0</v>
      </c>
      <c r="C193" s="3">
        <v>3.0</v>
      </c>
      <c r="D193" s="3">
        <v>343.0</v>
      </c>
      <c r="E193" s="3"/>
    </row>
    <row r="194">
      <c r="A194" s="3">
        <v>192.0</v>
      </c>
      <c r="B194" s="3">
        <v>4113.0</v>
      </c>
      <c r="C194" s="3">
        <v>1.0</v>
      </c>
      <c r="D194" s="3">
        <v>31.0</v>
      </c>
      <c r="E194" s="3"/>
    </row>
    <row r="195">
      <c r="A195" s="3">
        <v>193.0</v>
      </c>
      <c r="B195" s="3">
        <v>15115.0</v>
      </c>
      <c r="C195" s="3">
        <v>1.0</v>
      </c>
      <c r="D195" s="3">
        <v>236.0</v>
      </c>
      <c r="E195" s="3"/>
    </row>
    <row r="196">
      <c r="A196" s="3">
        <v>194.0</v>
      </c>
      <c r="B196" s="3">
        <v>22218.0</v>
      </c>
      <c r="C196" s="3">
        <v>3.0</v>
      </c>
      <c r="D196" s="3">
        <v>311.0</v>
      </c>
      <c r="E196" s="3"/>
    </row>
    <row r="197">
      <c r="A197" s="3">
        <v>195.0</v>
      </c>
      <c r="B197" s="3">
        <v>12145.0</v>
      </c>
      <c r="C197" s="3">
        <v>1.0</v>
      </c>
      <c r="D197" s="3">
        <v>146.0</v>
      </c>
      <c r="E197" s="3"/>
    </row>
    <row r="198">
      <c r="A198" s="3">
        <v>196.0</v>
      </c>
      <c r="B198" s="3">
        <v>3990.0</v>
      </c>
      <c r="C198" s="3">
        <v>1.0</v>
      </c>
      <c r="D198" s="3">
        <v>67.0</v>
      </c>
      <c r="E198" s="3"/>
    </row>
    <row r="199">
      <c r="A199" s="3">
        <v>197.0</v>
      </c>
      <c r="B199" s="3">
        <v>26540.0</v>
      </c>
      <c r="C199" s="3">
        <v>3.0</v>
      </c>
      <c r="D199" s="3">
        <v>272.0</v>
      </c>
      <c r="E199" s="3"/>
    </row>
    <row r="200">
      <c r="A200" s="3">
        <v>198.0</v>
      </c>
      <c r="B200" s="3">
        <v>11163.0</v>
      </c>
      <c r="C200" s="3">
        <v>2.0</v>
      </c>
      <c r="D200" s="3">
        <v>184.0</v>
      </c>
      <c r="E200" s="3"/>
    </row>
    <row r="201">
      <c r="A201" s="3">
        <v>199.0</v>
      </c>
      <c r="B201" s="3">
        <v>18842.0</v>
      </c>
      <c r="C201" s="3">
        <v>2.0</v>
      </c>
      <c r="D201" s="3">
        <v>282.0</v>
      </c>
      <c r="E201" s="3"/>
    </row>
    <row r="202">
      <c r="A202" s="3">
        <v>200.0</v>
      </c>
      <c r="B202" s="3">
        <v>13266.0</v>
      </c>
      <c r="C202" s="3">
        <v>3.0</v>
      </c>
      <c r="D202" s="3">
        <v>110.0</v>
      </c>
      <c r="E202" s="3"/>
    </row>
    <row r="203">
      <c r="A203" s="3">
        <v>201.0</v>
      </c>
      <c r="B203" s="3">
        <v>5386.0</v>
      </c>
      <c r="C203" s="3">
        <v>2.0</v>
      </c>
      <c r="D203" s="3">
        <v>42.0</v>
      </c>
      <c r="E203" s="3"/>
    </row>
    <row r="204">
      <c r="A204" s="3">
        <v>202.0</v>
      </c>
      <c r="B204" s="3">
        <v>8797.0</v>
      </c>
      <c r="C204" s="3">
        <v>1.0</v>
      </c>
      <c r="D204" s="3">
        <v>47.0</v>
      </c>
      <c r="E204" s="3"/>
    </row>
    <row r="205">
      <c r="A205" s="3">
        <v>203.0</v>
      </c>
      <c r="B205" s="3">
        <v>6734.0</v>
      </c>
      <c r="C205" s="3">
        <v>2.0</v>
      </c>
      <c r="D205" s="3">
        <v>41.0</v>
      </c>
      <c r="E205" s="3"/>
    </row>
    <row r="206">
      <c r="A206" s="3">
        <v>204.0</v>
      </c>
      <c r="B206" s="3">
        <v>26116.0</v>
      </c>
      <c r="C206" s="3">
        <v>3.0</v>
      </c>
      <c r="D206" s="3">
        <v>399.0</v>
      </c>
      <c r="E206" s="3"/>
    </row>
    <row r="207">
      <c r="A207" s="3">
        <v>205.0</v>
      </c>
      <c r="B207" s="3">
        <v>9708.0</v>
      </c>
      <c r="C207" s="3">
        <v>2.0</v>
      </c>
      <c r="D207" s="3">
        <v>94.0</v>
      </c>
      <c r="E207" s="3"/>
    </row>
    <row r="208">
      <c r="A208" s="3">
        <v>206.0</v>
      </c>
      <c r="B208" s="3">
        <v>20537.0</v>
      </c>
      <c r="C208" s="3">
        <v>3.0</v>
      </c>
      <c r="D208" s="3">
        <v>348.0</v>
      </c>
      <c r="E208" s="3"/>
    </row>
    <row r="209">
      <c r="A209" s="3">
        <v>207.0</v>
      </c>
      <c r="B209" s="3">
        <v>8666.0</v>
      </c>
      <c r="C209" s="3">
        <v>3.0</v>
      </c>
      <c r="D209" s="3">
        <v>65.0</v>
      </c>
      <c r="E209" s="3"/>
    </row>
    <row r="210">
      <c r="A210" s="3">
        <v>208.0</v>
      </c>
      <c r="B210" s="3">
        <v>12354.0</v>
      </c>
      <c r="C210" s="3">
        <v>3.0</v>
      </c>
      <c r="D210" s="3">
        <v>96.0</v>
      </c>
      <c r="E210" s="3"/>
    </row>
    <row r="211">
      <c r="A211" s="3">
        <v>209.0</v>
      </c>
      <c r="B211" s="3">
        <v>15728.0</v>
      </c>
      <c r="C211" s="3">
        <v>1.0</v>
      </c>
      <c r="D211" s="3">
        <v>176.0</v>
      </c>
      <c r="E211" s="3"/>
    </row>
    <row r="212">
      <c r="A212" s="3">
        <v>210.0</v>
      </c>
      <c r="B212" s="3">
        <v>6123.0</v>
      </c>
      <c r="C212" s="3">
        <v>3.0</v>
      </c>
      <c r="D212" s="3">
        <v>94.0</v>
      </c>
      <c r="E212" s="3"/>
    </row>
    <row r="213">
      <c r="A213" s="3">
        <v>211.0</v>
      </c>
      <c r="B213" s="3">
        <v>21349.0</v>
      </c>
      <c r="C213" s="3">
        <v>3.0</v>
      </c>
      <c r="D213" s="3">
        <v>320.0</v>
      </c>
      <c r="E213" s="3"/>
    </row>
    <row r="214">
      <c r="A214" s="3">
        <v>212.0</v>
      </c>
      <c r="B214" s="3">
        <v>8167.0</v>
      </c>
      <c r="C214" s="3">
        <v>3.0</v>
      </c>
      <c r="D214" s="3">
        <v>83.0</v>
      </c>
      <c r="E214" s="3"/>
    </row>
    <row r="215">
      <c r="A215" s="3">
        <v>213.0</v>
      </c>
      <c r="B215" s="3">
        <v>6764.0</v>
      </c>
      <c r="C215" s="3">
        <v>2.0</v>
      </c>
      <c r="D215" s="3">
        <v>105.0</v>
      </c>
      <c r="E215" s="3"/>
    </row>
    <row r="216">
      <c r="A216" s="3">
        <v>214.0</v>
      </c>
      <c r="B216" s="3">
        <v>4331.0</v>
      </c>
      <c r="C216" s="3">
        <v>1.0</v>
      </c>
      <c r="D216" s="3">
        <v>46.0</v>
      </c>
      <c r="E216" s="3"/>
    </row>
    <row r="217">
      <c r="A217" s="3">
        <v>215.0</v>
      </c>
      <c r="B217" s="3">
        <v>9574.0</v>
      </c>
      <c r="C217" s="3">
        <v>1.0</v>
      </c>
      <c r="D217" s="3">
        <v>100.0</v>
      </c>
      <c r="E217" s="3"/>
    </row>
    <row r="218">
      <c r="A218" s="3">
        <v>216.0</v>
      </c>
      <c r="B218" s="3">
        <v>3541.0</v>
      </c>
      <c r="C218" s="3">
        <v>2.0</v>
      </c>
      <c r="D218" s="3">
        <v>61.0</v>
      </c>
      <c r="E218" s="3"/>
    </row>
    <row r="219">
      <c r="A219" s="3">
        <v>217.0</v>
      </c>
      <c r="B219" s="3">
        <v>5556.0</v>
      </c>
      <c r="C219" s="3">
        <v>2.0</v>
      </c>
      <c r="D219" s="3">
        <v>67.0</v>
      </c>
      <c r="E219" s="3"/>
    </row>
    <row r="220">
      <c r="A220" s="3">
        <v>218.0</v>
      </c>
      <c r="B220" s="3">
        <v>8160.0</v>
      </c>
      <c r="C220" s="3">
        <v>2.0</v>
      </c>
      <c r="D220" s="3">
        <v>89.0</v>
      </c>
      <c r="E220" s="3"/>
    </row>
    <row r="221">
      <c r="A221" s="3">
        <v>219.0</v>
      </c>
      <c r="B221" s="3">
        <v>27270.0</v>
      </c>
      <c r="C221" s="3">
        <v>3.0</v>
      </c>
      <c r="D221" s="3">
        <v>429.0</v>
      </c>
      <c r="E221" s="3"/>
    </row>
    <row r="222">
      <c r="A222" s="3">
        <v>220.0</v>
      </c>
      <c r="B222" s="3">
        <v>18971.0</v>
      </c>
      <c r="C222" s="3">
        <v>3.0</v>
      </c>
      <c r="D222" s="3">
        <v>196.0</v>
      </c>
      <c r="E222" s="3"/>
    </row>
    <row r="223">
      <c r="A223" s="3">
        <v>221.0</v>
      </c>
      <c r="B223" s="3">
        <v>17665.0</v>
      </c>
      <c r="C223" s="3">
        <v>2.0</v>
      </c>
      <c r="D223" s="3">
        <v>160.0</v>
      </c>
      <c r="E223" s="3"/>
    </row>
    <row r="224">
      <c r="A224" s="3">
        <v>222.0</v>
      </c>
      <c r="B224" s="3">
        <v>7146.0</v>
      </c>
      <c r="C224" s="3">
        <v>2.0</v>
      </c>
      <c r="D224" s="3">
        <v>86.0</v>
      </c>
      <c r="E224" s="3"/>
    </row>
    <row r="225">
      <c r="A225" s="3">
        <v>223.0</v>
      </c>
      <c r="B225" s="3">
        <v>17376.0</v>
      </c>
      <c r="C225" s="3">
        <v>2.0</v>
      </c>
      <c r="D225" s="3">
        <v>149.0</v>
      </c>
      <c r="E225" s="3"/>
    </row>
    <row r="226">
      <c r="A226" s="3">
        <v>224.0</v>
      </c>
      <c r="B226" s="3">
        <v>11562.0</v>
      </c>
      <c r="C226" s="3">
        <v>2.0</v>
      </c>
      <c r="D226" s="3">
        <v>96.0</v>
      </c>
      <c r="E226" s="3"/>
    </row>
    <row r="227">
      <c r="A227" s="3">
        <v>225.0</v>
      </c>
      <c r="B227" s="3">
        <v>15563.0</v>
      </c>
      <c r="C227" s="3">
        <v>1.0</v>
      </c>
      <c r="D227" s="3">
        <v>169.0</v>
      </c>
      <c r="E227" s="3"/>
    </row>
    <row r="228">
      <c r="A228" s="3">
        <v>226.0</v>
      </c>
      <c r="B228" s="3">
        <v>3805.0</v>
      </c>
      <c r="C228" s="3">
        <v>2.0</v>
      </c>
      <c r="D228" s="3">
        <v>52.0</v>
      </c>
      <c r="E228" s="3"/>
    </row>
    <row r="229">
      <c r="A229" s="3">
        <v>227.0</v>
      </c>
      <c r="B229" s="3">
        <v>15930.0</v>
      </c>
      <c r="C229" s="3">
        <v>2.0</v>
      </c>
      <c r="D229" s="3">
        <v>256.0</v>
      </c>
      <c r="E229" s="3"/>
    </row>
    <row r="230">
      <c r="A230" s="3">
        <v>228.0</v>
      </c>
      <c r="B230" s="3">
        <v>5362.0</v>
      </c>
      <c r="C230" s="3">
        <v>2.0</v>
      </c>
      <c r="D230" s="3">
        <v>78.0</v>
      </c>
      <c r="E230" s="3"/>
    </row>
    <row r="231">
      <c r="A231" s="3">
        <v>229.0</v>
      </c>
      <c r="B231" s="3">
        <v>12741.0</v>
      </c>
      <c r="C231" s="3">
        <v>2.0</v>
      </c>
      <c r="D231" s="3">
        <v>221.0</v>
      </c>
      <c r="E231" s="3"/>
    </row>
    <row r="232">
      <c r="A232" s="3">
        <v>230.0</v>
      </c>
      <c r="B232" s="3">
        <v>4526.0</v>
      </c>
      <c r="C232" s="3">
        <v>1.0</v>
      </c>
      <c r="D232" s="3">
        <v>76.0</v>
      </c>
      <c r="E232" s="3"/>
    </row>
    <row r="233">
      <c r="A233" s="3">
        <v>231.0</v>
      </c>
      <c r="B233" s="3">
        <v>11792.0</v>
      </c>
      <c r="C233" s="3">
        <v>3.0</v>
      </c>
      <c r="D233" s="3">
        <v>99.0</v>
      </c>
      <c r="E233" s="3"/>
    </row>
    <row r="234">
      <c r="A234" s="3">
        <v>232.0</v>
      </c>
      <c r="B234" s="3">
        <v>20774.0</v>
      </c>
      <c r="C234" s="3">
        <v>3.0</v>
      </c>
      <c r="D234" s="3">
        <v>259.0</v>
      </c>
      <c r="E234" s="3"/>
    </row>
    <row r="235">
      <c r="A235" s="3">
        <v>233.0</v>
      </c>
      <c r="B235" s="3">
        <v>10377.0</v>
      </c>
      <c r="C235" s="3">
        <v>3.0</v>
      </c>
      <c r="D235" s="3">
        <v>170.0</v>
      </c>
      <c r="E235" s="3"/>
    </row>
    <row r="236">
      <c r="A236" s="3">
        <v>234.0</v>
      </c>
      <c r="B236" s="3">
        <v>16257.0</v>
      </c>
      <c r="C236" s="3">
        <v>1.0</v>
      </c>
      <c r="D236" s="3">
        <v>303.0</v>
      </c>
      <c r="E236" s="3"/>
    </row>
    <row r="237">
      <c r="A237" s="3">
        <v>235.0</v>
      </c>
      <c r="B237" s="3">
        <v>7058.0</v>
      </c>
      <c r="C237" s="3">
        <v>1.0</v>
      </c>
      <c r="D237" s="3">
        <v>60.0</v>
      </c>
      <c r="E237" s="3"/>
    </row>
    <row r="238">
      <c r="A238" s="3">
        <v>236.0</v>
      </c>
      <c r="B238" s="3">
        <v>31232.0</v>
      </c>
      <c r="C238" s="3">
        <v>3.0</v>
      </c>
      <c r="D238" s="3">
        <v>403.0</v>
      </c>
      <c r="E238" s="3"/>
    </row>
    <row r="239">
      <c r="A239" s="3">
        <v>237.0</v>
      </c>
      <c r="B239" s="3">
        <v>7421.0</v>
      </c>
      <c r="C239" s="3">
        <v>1.0</v>
      </c>
      <c r="D239" s="3">
        <v>138.0</v>
      </c>
      <c r="E239" s="3"/>
    </row>
    <row r="240">
      <c r="A240" s="3">
        <v>238.0</v>
      </c>
      <c r="B240" s="3">
        <v>4290.0</v>
      </c>
      <c r="C240" s="3">
        <v>1.0</v>
      </c>
      <c r="D240" s="3">
        <v>80.0</v>
      </c>
      <c r="E240" s="3"/>
    </row>
    <row r="241">
      <c r="A241" s="3">
        <v>239.0</v>
      </c>
      <c r="B241" s="3">
        <v>27496.0</v>
      </c>
      <c r="C241" s="3">
        <v>3.0</v>
      </c>
      <c r="D241" s="3">
        <v>276.0</v>
      </c>
      <c r="E241" s="3"/>
    </row>
    <row r="242">
      <c r="A242" s="3">
        <v>240.0</v>
      </c>
      <c r="B242" s="3">
        <v>3972.0</v>
      </c>
      <c r="C242" s="3">
        <v>1.0</v>
      </c>
      <c r="D242" s="3">
        <v>77.0</v>
      </c>
      <c r="E242" s="3"/>
    </row>
    <row r="243">
      <c r="A243" s="3">
        <v>241.0</v>
      </c>
      <c r="B243" s="3">
        <v>16766.0</v>
      </c>
      <c r="C243" s="3">
        <v>3.0</v>
      </c>
      <c r="D243" s="3">
        <v>178.0</v>
      </c>
      <c r="E243" s="3"/>
    </row>
    <row r="244">
      <c r="A244" s="3">
        <v>242.0</v>
      </c>
      <c r="B244" s="3">
        <v>5250.0</v>
      </c>
      <c r="C244" s="3">
        <v>2.0</v>
      </c>
      <c r="D244" s="3">
        <v>71.0</v>
      </c>
      <c r="E244" s="3"/>
    </row>
    <row r="245">
      <c r="A245" s="3">
        <v>243.0</v>
      </c>
      <c r="B245" s="3">
        <v>9105.0</v>
      </c>
      <c r="C245" s="3">
        <v>1.0</v>
      </c>
      <c r="D245" s="3">
        <v>120.0</v>
      </c>
      <c r="E245" s="3"/>
    </row>
    <row r="246">
      <c r="A246" s="3">
        <v>244.0</v>
      </c>
      <c r="B246" s="3">
        <v>15132.0</v>
      </c>
      <c r="C246" s="3">
        <v>2.0</v>
      </c>
      <c r="D246" s="3">
        <v>163.0</v>
      </c>
      <c r="E246" s="3"/>
    </row>
    <row r="247">
      <c r="A247" s="3">
        <v>245.0</v>
      </c>
      <c r="B247" s="3">
        <v>11946.0</v>
      </c>
      <c r="C247" s="3">
        <v>3.0</v>
      </c>
      <c r="D247" s="3">
        <v>170.0</v>
      </c>
      <c r="E247" s="3"/>
    </row>
    <row r="248">
      <c r="A248" s="3">
        <v>246.0</v>
      </c>
      <c r="B248" s="3">
        <v>3731.0</v>
      </c>
      <c r="C248" s="3">
        <v>1.0</v>
      </c>
      <c r="D248" s="3">
        <v>43.0</v>
      </c>
      <c r="E248" s="3"/>
    </row>
    <row r="249">
      <c r="A249" s="3">
        <v>247.0</v>
      </c>
      <c r="B249" s="3">
        <v>8424.0</v>
      </c>
      <c r="C249" s="3">
        <v>2.0</v>
      </c>
      <c r="D249" s="3">
        <v>97.0</v>
      </c>
      <c r="E249" s="3"/>
    </row>
    <row r="250">
      <c r="A250" s="3">
        <v>248.0</v>
      </c>
      <c r="B250" s="3">
        <v>4414.0</v>
      </c>
      <c r="C250" s="3">
        <v>1.0</v>
      </c>
      <c r="D250" s="3">
        <v>28.0</v>
      </c>
      <c r="E250" s="3"/>
    </row>
    <row r="251">
      <c r="A251" s="3">
        <v>249.0</v>
      </c>
      <c r="B251" s="3">
        <v>6180.0</v>
      </c>
      <c r="C251" s="3">
        <v>1.0</v>
      </c>
      <c r="D251" s="3">
        <v>71.0</v>
      </c>
      <c r="E251" s="3"/>
    </row>
    <row r="252">
      <c r="A252" s="3">
        <v>250.0</v>
      </c>
      <c r="B252" s="3">
        <v>16074.0</v>
      </c>
      <c r="C252" s="3">
        <v>2.0</v>
      </c>
      <c r="D252" s="3">
        <v>113.0</v>
      </c>
      <c r="E252" s="3"/>
    </row>
    <row r="253">
      <c r="A253" s="3">
        <v>251.0</v>
      </c>
      <c r="B253" s="3">
        <v>33008.0</v>
      </c>
      <c r="C253" s="3">
        <v>2.0</v>
      </c>
      <c r="D253" s="3">
        <v>528.0</v>
      </c>
      <c r="E253" s="3"/>
    </row>
    <row r="254">
      <c r="A254" s="3">
        <v>252.0</v>
      </c>
      <c r="B254" s="3">
        <v>25880.0</v>
      </c>
      <c r="C254" s="3">
        <v>3.0</v>
      </c>
      <c r="D254" s="3">
        <v>387.0</v>
      </c>
      <c r="E254" s="3"/>
    </row>
    <row r="255">
      <c r="A255" s="3">
        <v>253.0</v>
      </c>
      <c r="B255" s="3">
        <v>11917.0</v>
      </c>
      <c r="C255" s="3">
        <v>2.0</v>
      </c>
      <c r="D255" s="3">
        <v>121.0</v>
      </c>
      <c r="E255" s="3"/>
    </row>
    <row r="256">
      <c r="A256" s="3">
        <v>254.0</v>
      </c>
      <c r="B256" s="3">
        <v>23345.0</v>
      </c>
      <c r="C256" s="3">
        <v>3.0</v>
      </c>
      <c r="D256" s="3">
        <v>191.0</v>
      </c>
      <c r="E256" s="3"/>
    </row>
    <row r="257">
      <c r="A257" s="3">
        <v>255.0</v>
      </c>
      <c r="B257" s="3">
        <v>15041.0</v>
      </c>
      <c r="C257" s="3">
        <v>1.0</v>
      </c>
      <c r="D257" s="3">
        <v>227.0</v>
      </c>
      <c r="E257" s="3"/>
    </row>
    <row r="258">
      <c r="A258" s="3">
        <v>256.0</v>
      </c>
      <c r="B258" s="3">
        <v>31442.0</v>
      </c>
      <c r="C258" s="3">
        <v>2.0</v>
      </c>
      <c r="D258" s="3">
        <v>435.0</v>
      </c>
      <c r="E258" s="3"/>
    </row>
    <row r="259">
      <c r="A259" s="3">
        <v>257.0</v>
      </c>
      <c r="B259" s="3">
        <v>26243.0</v>
      </c>
      <c r="C259" s="3">
        <v>3.0</v>
      </c>
      <c r="D259" s="3">
        <v>345.0</v>
      </c>
      <c r="E259" s="3"/>
    </row>
    <row r="260">
      <c r="A260" s="3">
        <v>258.0</v>
      </c>
      <c r="B260" s="3">
        <v>8854.0</v>
      </c>
      <c r="C260" s="3">
        <v>1.0</v>
      </c>
      <c r="D260" s="3">
        <v>126.0</v>
      </c>
      <c r="E260" s="3"/>
    </row>
    <row r="261">
      <c r="A261" s="3">
        <v>259.0</v>
      </c>
      <c r="B261" s="3">
        <v>4993.0</v>
      </c>
      <c r="C261" s="3">
        <v>3.0</v>
      </c>
      <c r="D261" s="3">
        <v>90.0</v>
      </c>
      <c r="E261" s="3"/>
    </row>
    <row r="262">
      <c r="A262" s="3">
        <v>260.0</v>
      </c>
      <c r="B262" s="3">
        <v>15994.0</v>
      </c>
      <c r="C262" s="3">
        <v>1.0</v>
      </c>
      <c r="D262" s="3">
        <v>182.0</v>
      </c>
      <c r="E262" s="3"/>
    </row>
    <row r="263">
      <c r="A263" s="3">
        <v>261.0</v>
      </c>
      <c r="B263" s="3">
        <v>33982.0</v>
      </c>
      <c r="C263" s="3">
        <v>3.0</v>
      </c>
      <c r="D263" s="3">
        <v>468.0</v>
      </c>
      <c r="E263" s="3"/>
    </row>
    <row r="264">
      <c r="A264" s="3">
        <v>262.0</v>
      </c>
      <c r="B264" s="3">
        <v>15602.0</v>
      </c>
      <c r="C264" s="3">
        <v>1.0</v>
      </c>
      <c r="D264" s="3">
        <v>231.0</v>
      </c>
      <c r="E264" s="3"/>
    </row>
    <row r="265">
      <c r="A265" s="3">
        <v>263.0</v>
      </c>
      <c r="B265" s="3">
        <v>6392.0</v>
      </c>
      <c r="C265" s="3">
        <v>1.0</v>
      </c>
      <c r="D265" s="3">
        <v>123.0</v>
      </c>
      <c r="E265" s="3"/>
    </row>
    <row r="266">
      <c r="A266" s="3">
        <v>264.0</v>
      </c>
      <c r="B266" s="3">
        <v>12775.0</v>
      </c>
      <c r="C266" s="3">
        <v>3.0</v>
      </c>
      <c r="D266" s="3">
        <v>178.0</v>
      </c>
      <c r="E266" s="3"/>
    </row>
    <row r="267">
      <c r="A267" s="3">
        <v>265.0</v>
      </c>
      <c r="B267" s="3">
        <v>16007.0</v>
      </c>
      <c r="C267" s="3">
        <v>1.0</v>
      </c>
      <c r="D267" s="3">
        <v>126.0</v>
      </c>
      <c r="E267" s="3"/>
    </row>
    <row r="268">
      <c r="A268" s="3">
        <v>266.0</v>
      </c>
      <c r="B268" s="3">
        <v>7340.0</v>
      </c>
      <c r="C268" s="3">
        <v>2.0</v>
      </c>
      <c r="D268" s="3">
        <v>83.0</v>
      </c>
      <c r="E268" s="3"/>
    </row>
    <row r="269">
      <c r="A269" s="3">
        <v>267.0</v>
      </c>
      <c r="B269" s="3">
        <v>17820.0</v>
      </c>
      <c r="C269" s="3">
        <v>2.0</v>
      </c>
      <c r="D269" s="3">
        <v>192.0</v>
      </c>
      <c r="E269" s="3"/>
    </row>
    <row r="270">
      <c r="A270" s="3">
        <v>268.0</v>
      </c>
      <c r="B270" s="3">
        <v>22239.0</v>
      </c>
      <c r="C270" s="3">
        <v>3.0</v>
      </c>
      <c r="D270" s="3">
        <v>317.0</v>
      </c>
      <c r="E270" s="3"/>
    </row>
    <row r="271">
      <c r="A271" s="3">
        <v>269.0</v>
      </c>
      <c r="B271" s="3">
        <v>8413.0</v>
      </c>
      <c r="C271" s="3">
        <v>2.0</v>
      </c>
      <c r="D271" s="3">
        <v>105.0</v>
      </c>
      <c r="E271" s="3"/>
    </row>
    <row r="272">
      <c r="A272" s="3">
        <v>270.0</v>
      </c>
      <c r="B272" s="3">
        <v>10386.0</v>
      </c>
      <c r="C272" s="3">
        <v>2.0</v>
      </c>
      <c r="D272" s="3">
        <v>159.0</v>
      </c>
      <c r="E272" s="3"/>
    </row>
    <row r="273">
      <c r="A273" s="3">
        <v>271.0</v>
      </c>
      <c r="B273" s="3">
        <v>13644.0</v>
      </c>
      <c r="C273" s="3">
        <v>1.0</v>
      </c>
      <c r="D273" s="3">
        <v>109.0</v>
      </c>
      <c r="E273" s="3"/>
    </row>
    <row r="274">
      <c r="A274" s="3">
        <v>272.0</v>
      </c>
      <c r="B274" s="3">
        <v>6954.0</v>
      </c>
      <c r="C274" s="3">
        <v>3.0</v>
      </c>
      <c r="D274" s="3">
        <v>74.0</v>
      </c>
      <c r="E274" s="3"/>
    </row>
    <row r="275">
      <c r="A275" s="3">
        <v>273.0</v>
      </c>
      <c r="B275" s="3">
        <v>12842.0</v>
      </c>
      <c r="C275" s="3">
        <v>2.0</v>
      </c>
      <c r="D275" s="3">
        <v>222.0</v>
      </c>
      <c r="E275" s="3"/>
    </row>
    <row r="276">
      <c r="A276" s="3">
        <v>274.0</v>
      </c>
      <c r="B276" s="3">
        <v>29052.0</v>
      </c>
      <c r="C276" s="3">
        <v>3.0</v>
      </c>
      <c r="D276" s="3">
        <v>292.0</v>
      </c>
      <c r="E276" s="3"/>
    </row>
    <row r="277">
      <c r="A277" s="3">
        <v>275.0</v>
      </c>
      <c r="B277" s="3">
        <v>40643.0</v>
      </c>
      <c r="C277" s="3">
        <v>3.0</v>
      </c>
      <c r="D277" s="3">
        <v>532.0</v>
      </c>
      <c r="E277" s="3"/>
    </row>
    <row r="278">
      <c r="A278" s="3">
        <v>276.0</v>
      </c>
      <c r="B278" s="3">
        <v>12376.0</v>
      </c>
      <c r="C278" s="3">
        <v>2.0</v>
      </c>
      <c r="D278" s="3">
        <v>197.0</v>
      </c>
      <c r="E278" s="3"/>
    </row>
    <row r="279">
      <c r="A279" s="3">
        <v>277.0</v>
      </c>
      <c r="B279" s="3">
        <v>9600.0</v>
      </c>
      <c r="C279" s="3">
        <v>2.0</v>
      </c>
      <c r="D279" s="3">
        <v>186.0</v>
      </c>
      <c r="E279" s="3"/>
    </row>
    <row r="280">
      <c r="A280" s="3">
        <v>278.0</v>
      </c>
      <c r="B280" s="3">
        <v>3905.0</v>
      </c>
      <c r="C280" s="3">
        <v>2.0</v>
      </c>
      <c r="D280" s="3">
        <v>64.0</v>
      </c>
      <c r="E280" s="3"/>
    </row>
    <row r="281">
      <c r="A281" s="3">
        <v>279.0</v>
      </c>
      <c r="B281" s="3">
        <v>15996.0</v>
      </c>
      <c r="C281" s="3">
        <v>1.0</v>
      </c>
      <c r="D281" s="3">
        <v>293.0</v>
      </c>
      <c r="E281" s="3"/>
    </row>
    <row r="282">
      <c r="A282" s="3">
        <v>280.0</v>
      </c>
      <c r="B282" s="3">
        <v>8887.0</v>
      </c>
      <c r="C282" s="3">
        <v>2.0</v>
      </c>
      <c r="D282" s="3">
        <v>114.0</v>
      </c>
      <c r="E282" s="3"/>
    </row>
    <row r="283">
      <c r="A283" s="3">
        <v>281.0</v>
      </c>
      <c r="B283" s="3">
        <v>10338.0</v>
      </c>
      <c r="C283" s="3">
        <v>2.0</v>
      </c>
      <c r="D283" s="3">
        <v>139.0</v>
      </c>
      <c r="E283" s="3"/>
    </row>
    <row r="284">
      <c r="A284" s="3">
        <v>282.0</v>
      </c>
      <c r="B284" s="3">
        <v>7459.0</v>
      </c>
      <c r="C284" s="3">
        <v>1.0</v>
      </c>
      <c r="D284" s="3">
        <v>114.0</v>
      </c>
      <c r="E284" s="3"/>
    </row>
    <row r="285">
      <c r="A285" s="3">
        <v>283.0</v>
      </c>
      <c r="B285" s="3">
        <v>15664.0</v>
      </c>
      <c r="C285" s="3">
        <v>1.0</v>
      </c>
      <c r="D285" s="3">
        <v>134.0</v>
      </c>
      <c r="E285" s="3"/>
    </row>
    <row r="286">
      <c r="A286" s="3">
        <v>284.0</v>
      </c>
      <c r="B286" s="3">
        <v>5405.0</v>
      </c>
      <c r="C286" s="3">
        <v>2.0</v>
      </c>
      <c r="D286" s="3">
        <v>64.0</v>
      </c>
      <c r="E286" s="3"/>
    </row>
    <row r="287">
      <c r="A287" s="3">
        <v>285.0</v>
      </c>
      <c r="B287" s="3">
        <v>15955.0</v>
      </c>
      <c r="C287" s="3">
        <v>2.0</v>
      </c>
      <c r="D287" s="3">
        <v>239.0</v>
      </c>
      <c r="E287" s="3"/>
    </row>
    <row r="288">
      <c r="A288" s="3">
        <v>286.0</v>
      </c>
      <c r="B288" s="3">
        <v>12568.0</v>
      </c>
      <c r="C288" s="3">
        <v>2.0</v>
      </c>
      <c r="D288" s="3">
        <v>188.0</v>
      </c>
      <c r="E288" s="3"/>
    </row>
    <row r="289">
      <c r="A289" s="3">
        <v>287.0</v>
      </c>
      <c r="B289" s="3">
        <v>17092.0</v>
      </c>
      <c r="C289" s="3">
        <v>2.0</v>
      </c>
      <c r="D289" s="3">
        <v>177.0</v>
      </c>
      <c r="E289" s="3"/>
    </row>
    <row r="290">
      <c r="A290" s="3">
        <v>288.0</v>
      </c>
      <c r="B290" s="3">
        <v>15393.0</v>
      </c>
      <c r="C290" s="3">
        <v>3.0</v>
      </c>
      <c r="D290" s="3">
        <v>232.0</v>
      </c>
      <c r="E290" s="3"/>
    </row>
    <row r="291">
      <c r="A291" s="3">
        <v>289.0</v>
      </c>
      <c r="B291" s="3">
        <v>4183.0</v>
      </c>
      <c r="C291" s="3">
        <v>1.0</v>
      </c>
      <c r="D291" s="3">
        <v>59.0</v>
      </c>
      <c r="E291" s="3"/>
    </row>
    <row r="292">
      <c r="A292" s="3">
        <v>290.0</v>
      </c>
      <c r="B292" s="3">
        <v>24793.0</v>
      </c>
      <c r="C292" s="3">
        <v>3.0</v>
      </c>
      <c r="D292" s="3">
        <v>263.0</v>
      </c>
      <c r="E292" s="3"/>
    </row>
    <row r="293">
      <c r="A293" s="3">
        <v>291.0</v>
      </c>
      <c r="B293" s="3">
        <v>16345.0</v>
      </c>
      <c r="C293" s="3">
        <v>1.0</v>
      </c>
      <c r="D293" s="3">
        <v>143.0</v>
      </c>
      <c r="E293" s="3"/>
    </row>
    <row r="294">
      <c r="A294" s="3">
        <v>292.0</v>
      </c>
      <c r="B294" s="3">
        <v>4134.0</v>
      </c>
      <c r="C294" s="3">
        <v>1.0</v>
      </c>
      <c r="D294" s="3">
        <v>82.0</v>
      </c>
      <c r="E294" s="3"/>
    </row>
    <row r="295">
      <c r="A295" s="3">
        <v>293.0</v>
      </c>
      <c r="B295" s="3">
        <v>21773.0</v>
      </c>
      <c r="C295" s="3">
        <v>3.0</v>
      </c>
      <c r="D295" s="3">
        <v>302.0</v>
      </c>
      <c r="E295" s="3"/>
    </row>
    <row r="296">
      <c r="A296" s="3">
        <v>294.0</v>
      </c>
      <c r="B296" s="3">
        <v>6536.0</v>
      </c>
      <c r="C296" s="3">
        <v>2.0</v>
      </c>
      <c r="D296" s="3">
        <v>102.0</v>
      </c>
      <c r="E296" s="3"/>
    </row>
    <row r="297">
      <c r="A297" s="3">
        <v>295.0</v>
      </c>
      <c r="B297" s="3">
        <v>22160.0</v>
      </c>
      <c r="C297" s="3">
        <v>2.0</v>
      </c>
      <c r="D297" s="3">
        <v>395.0</v>
      </c>
      <c r="E297" s="3"/>
    </row>
    <row r="298">
      <c r="A298" s="3">
        <v>296.0</v>
      </c>
      <c r="B298" s="3">
        <v>16837.0</v>
      </c>
      <c r="C298" s="3">
        <v>2.0</v>
      </c>
      <c r="D298" s="3">
        <v>300.0</v>
      </c>
      <c r="E298" s="3"/>
    </row>
    <row r="299">
      <c r="A299" s="3">
        <v>297.0</v>
      </c>
      <c r="B299" s="3">
        <v>17559.0</v>
      </c>
      <c r="C299" s="3">
        <v>2.0</v>
      </c>
      <c r="D299" s="3">
        <v>274.0</v>
      </c>
      <c r="E299" s="3"/>
    </row>
    <row r="300">
      <c r="A300" s="3">
        <v>298.0</v>
      </c>
      <c r="B300" s="3">
        <v>8592.0</v>
      </c>
      <c r="C300" s="3">
        <v>2.0</v>
      </c>
      <c r="D300" s="3">
        <v>51.0</v>
      </c>
      <c r="E300" s="3"/>
    </row>
    <row r="301">
      <c r="A301" s="3">
        <v>299.0</v>
      </c>
      <c r="B301" s="3">
        <v>10862.0</v>
      </c>
      <c r="C301" s="3">
        <v>2.0</v>
      </c>
      <c r="D301" s="3">
        <v>122.0</v>
      </c>
      <c r="E301" s="3"/>
    </row>
    <row r="302">
      <c r="A302" s="3">
        <v>300.0</v>
      </c>
      <c r="B302" s="3">
        <v>34746.0</v>
      </c>
      <c r="C302" s="3">
        <v>3.0</v>
      </c>
      <c r="D302" s="3">
        <v>416.0</v>
      </c>
      <c r="E302" s="3"/>
    </row>
    <row r="303">
      <c r="A303" s="3">
        <v>301.0</v>
      </c>
      <c r="B303" s="3">
        <v>25663.0</v>
      </c>
      <c r="C303" s="3">
        <v>3.0</v>
      </c>
      <c r="D303" s="3">
        <v>296.0</v>
      </c>
      <c r="E303" s="3"/>
    </row>
    <row r="304">
      <c r="A304" s="3">
        <v>302.0</v>
      </c>
      <c r="B304" s="3">
        <v>4079.0</v>
      </c>
      <c r="C304" s="3">
        <v>1.0</v>
      </c>
      <c r="D304" s="3">
        <v>79.0</v>
      </c>
      <c r="E304" s="3"/>
    </row>
    <row r="305">
      <c r="A305" s="3">
        <v>303.0</v>
      </c>
      <c r="B305" s="3">
        <v>7876.0</v>
      </c>
      <c r="C305" s="3">
        <v>1.0</v>
      </c>
      <c r="D305" s="3">
        <v>79.0</v>
      </c>
      <c r="E305" s="3"/>
    </row>
    <row r="306">
      <c r="A306" s="3">
        <v>304.0</v>
      </c>
      <c r="B306" s="3">
        <v>17501.0</v>
      </c>
      <c r="C306" s="3">
        <v>3.0</v>
      </c>
      <c r="D306" s="3">
        <v>258.0</v>
      </c>
      <c r="E306" s="3"/>
    </row>
    <row r="307">
      <c r="A307" s="3">
        <v>305.0</v>
      </c>
      <c r="B307" s="3">
        <v>5619.0</v>
      </c>
      <c r="C307" s="3">
        <v>2.0</v>
      </c>
      <c r="D307" s="3">
        <v>92.0</v>
      </c>
      <c r="E307" s="3"/>
    </row>
    <row r="308">
      <c r="A308" s="3">
        <v>306.0</v>
      </c>
      <c r="B308" s="3">
        <v>5919.0</v>
      </c>
      <c r="C308" s="3">
        <v>1.0</v>
      </c>
      <c r="D308" s="3">
        <v>105.0</v>
      </c>
      <c r="E308" s="3"/>
    </row>
    <row r="309">
      <c r="A309" s="3">
        <v>307.0</v>
      </c>
      <c r="B309" s="3">
        <v>16155.0</v>
      </c>
      <c r="C309" s="3">
        <v>1.0</v>
      </c>
      <c r="D309" s="3">
        <v>113.0</v>
      </c>
      <c r="E309" s="3"/>
    </row>
    <row r="310">
      <c r="A310" s="3">
        <v>308.0</v>
      </c>
      <c r="B310" s="3">
        <v>12727.0</v>
      </c>
      <c r="C310" s="3">
        <v>2.0</v>
      </c>
      <c r="D310" s="3">
        <v>211.0</v>
      </c>
      <c r="E310" s="3"/>
    </row>
    <row r="311">
      <c r="A311" s="3">
        <v>309.0</v>
      </c>
      <c r="B311" s="3">
        <v>6699.0</v>
      </c>
      <c r="C311" s="3">
        <v>1.0</v>
      </c>
      <c r="D311" s="3">
        <v>91.0</v>
      </c>
      <c r="E311" s="3"/>
    </row>
    <row r="312">
      <c r="A312" s="3">
        <v>310.0</v>
      </c>
      <c r="B312" s="3">
        <v>15092.0</v>
      </c>
      <c r="C312" s="3">
        <v>1.0</v>
      </c>
      <c r="D312" s="3">
        <v>95.0</v>
      </c>
      <c r="E312" s="3"/>
    </row>
    <row r="313">
      <c r="A313" s="3">
        <v>311.0</v>
      </c>
      <c r="B313" s="3">
        <v>4064.0</v>
      </c>
      <c r="C313" s="3">
        <v>2.0</v>
      </c>
      <c r="D313" s="3">
        <v>57.0</v>
      </c>
      <c r="E313" s="3"/>
    </row>
    <row r="314">
      <c r="A314" s="3">
        <v>312.0</v>
      </c>
      <c r="B314" s="3">
        <v>16118.0</v>
      </c>
      <c r="C314" s="3">
        <v>1.0</v>
      </c>
      <c r="D314" s="3">
        <v>260.0</v>
      </c>
      <c r="E314" s="3"/>
    </row>
    <row r="315">
      <c r="A315" s="3">
        <v>313.0</v>
      </c>
      <c r="B315" s="3">
        <v>29403.0</v>
      </c>
      <c r="C315" s="3">
        <v>3.0</v>
      </c>
      <c r="D315" s="3">
        <v>408.0</v>
      </c>
      <c r="E315" s="3"/>
    </row>
    <row r="316">
      <c r="A316" s="3">
        <v>314.0</v>
      </c>
      <c r="B316" s="3">
        <v>8158.0</v>
      </c>
      <c r="C316" s="3">
        <v>2.0</v>
      </c>
      <c r="D316" s="3">
        <v>81.0</v>
      </c>
      <c r="E316" s="3"/>
    </row>
    <row r="317">
      <c r="A317" s="3">
        <v>315.0</v>
      </c>
      <c r="B317" s="3">
        <v>6243.0</v>
      </c>
      <c r="C317" s="3">
        <v>1.0</v>
      </c>
      <c r="D317" s="3">
        <v>111.0</v>
      </c>
      <c r="E317" s="3"/>
    </row>
    <row r="318">
      <c r="A318" s="3">
        <v>316.0</v>
      </c>
      <c r="B318" s="3">
        <v>4908.0</v>
      </c>
      <c r="C318" s="3">
        <v>2.0</v>
      </c>
      <c r="D318" s="3">
        <v>76.0</v>
      </c>
      <c r="E318" s="3"/>
    </row>
    <row r="319">
      <c r="A319" s="3">
        <v>317.0</v>
      </c>
      <c r="B319" s="3">
        <v>41462.0</v>
      </c>
      <c r="C319" s="3">
        <v>3.0</v>
      </c>
      <c r="D319" s="3">
        <v>489.0</v>
      </c>
      <c r="E319" s="3"/>
    </row>
    <row r="320">
      <c r="A320" s="3">
        <v>318.0</v>
      </c>
      <c r="B320" s="3">
        <v>19849.0</v>
      </c>
      <c r="C320" s="3">
        <v>2.0</v>
      </c>
      <c r="D320" s="3">
        <v>285.0</v>
      </c>
      <c r="E320" s="3"/>
    </row>
    <row r="321">
      <c r="A321" s="3">
        <v>319.0</v>
      </c>
      <c r="B321" s="3">
        <v>19611.0</v>
      </c>
      <c r="C321" s="3">
        <v>3.0</v>
      </c>
      <c r="D321" s="3">
        <v>257.0</v>
      </c>
      <c r="E321" s="3"/>
    </row>
    <row r="322">
      <c r="A322" s="3">
        <v>320.0</v>
      </c>
      <c r="B322" s="3">
        <v>12798.0</v>
      </c>
      <c r="C322" s="3">
        <v>2.0</v>
      </c>
      <c r="D322" s="3">
        <v>161.0</v>
      </c>
      <c r="E322" s="3"/>
    </row>
    <row r="323">
      <c r="A323" s="3">
        <v>321.0</v>
      </c>
      <c r="B323" s="3">
        <v>23079.0</v>
      </c>
      <c r="C323" s="3">
        <v>2.0</v>
      </c>
      <c r="D323" s="3">
        <v>218.0</v>
      </c>
      <c r="E323" s="3"/>
    </row>
    <row r="324">
      <c r="A324" s="3">
        <v>322.0</v>
      </c>
      <c r="B324" s="3">
        <v>34616.0</v>
      </c>
      <c r="C324" s="3">
        <v>3.0</v>
      </c>
      <c r="D324" s="3">
        <v>465.0</v>
      </c>
      <c r="E324" s="3"/>
    </row>
    <row r="325">
      <c r="A325" s="3">
        <v>323.0</v>
      </c>
      <c r="B325" s="3">
        <v>19848.0</v>
      </c>
      <c r="C325" s="3">
        <v>2.0</v>
      </c>
      <c r="D325" s="3">
        <v>209.0</v>
      </c>
      <c r="E325" s="3"/>
    </row>
    <row r="326">
      <c r="A326" s="3">
        <v>324.0</v>
      </c>
      <c r="B326" s="3">
        <v>3907.0</v>
      </c>
      <c r="C326" s="3">
        <v>1.0</v>
      </c>
      <c r="D326" s="3">
        <v>56.0</v>
      </c>
      <c r="E326" s="3"/>
    </row>
    <row r="327">
      <c r="A327" s="3">
        <v>325.0</v>
      </c>
      <c r="B327" s="3">
        <v>13929.0</v>
      </c>
      <c r="C327" s="3">
        <v>1.0</v>
      </c>
      <c r="D327" s="3">
        <v>117.0</v>
      </c>
      <c r="E327" s="3"/>
    </row>
    <row r="328">
      <c r="A328" s="3">
        <v>326.0</v>
      </c>
      <c r="B328" s="3">
        <v>13833.0</v>
      </c>
      <c r="C328" s="3">
        <v>1.0</v>
      </c>
      <c r="D328" s="3">
        <v>109.0</v>
      </c>
      <c r="E328" s="3"/>
    </row>
    <row r="329">
      <c r="A329" s="3">
        <v>327.0</v>
      </c>
      <c r="B329" s="3">
        <v>35678.0</v>
      </c>
      <c r="C329" s="3">
        <v>3.0</v>
      </c>
      <c r="D329" s="3">
        <v>443.0</v>
      </c>
      <c r="E329" s="3"/>
    </row>
    <row r="330">
      <c r="A330" s="3">
        <v>328.0</v>
      </c>
      <c r="B330" s="3">
        <v>4960.0</v>
      </c>
      <c r="C330" s="3">
        <v>1.0</v>
      </c>
      <c r="D330" s="3">
        <v>65.0</v>
      </c>
      <c r="E330" s="3"/>
    </row>
    <row r="331">
      <c r="A331" s="3">
        <v>329.0</v>
      </c>
      <c r="B331" s="3">
        <v>14995.0</v>
      </c>
      <c r="C331" s="3">
        <v>2.0</v>
      </c>
      <c r="D331" s="3">
        <v>231.0</v>
      </c>
      <c r="E331" s="3"/>
    </row>
    <row r="332">
      <c r="A332" s="3">
        <v>330.0</v>
      </c>
      <c r="B332" s="3">
        <v>6303.0</v>
      </c>
      <c r="C332" s="3">
        <v>2.0</v>
      </c>
      <c r="D332" s="3">
        <v>52.0</v>
      </c>
      <c r="E332" s="3"/>
    </row>
    <row r="333">
      <c r="A333" s="3">
        <v>331.0</v>
      </c>
      <c r="B333" s="3">
        <v>40853.0</v>
      </c>
      <c r="C333" s="3">
        <v>3.0</v>
      </c>
      <c r="D333" s="3">
        <v>531.0</v>
      </c>
      <c r="E333" s="3"/>
    </row>
    <row r="334">
      <c r="A334" s="3">
        <v>332.0</v>
      </c>
      <c r="B334" s="3">
        <v>4446.0</v>
      </c>
      <c r="C334" s="3">
        <v>1.0</v>
      </c>
      <c r="D334" s="3">
        <v>55.0</v>
      </c>
      <c r="E334" s="3"/>
    </row>
    <row r="335">
      <c r="A335" s="3">
        <v>333.0</v>
      </c>
      <c r="B335" s="3">
        <v>4391.0</v>
      </c>
      <c r="C335" s="3">
        <v>1.0</v>
      </c>
      <c r="D335" s="3">
        <v>60.0</v>
      </c>
      <c r="E335" s="3"/>
    </row>
    <row r="336">
      <c r="A336" s="3">
        <v>334.0</v>
      </c>
      <c r="B336" s="3">
        <v>28207.0</v>
      </c>
      <c r="C336" s="3">
        <v>3.0</v>
      </c>
      <c r="D336" s="3">
        <v>289.0</v>
      </c>
      <c r="E336" s="3"/>
    </row>
    <row r="337">
      <c r="A337" s="3">
        <v>335.0</v>
      </c>
      <c r="B337" s="3">
        <v>10513.0</v>
      </c>
      <c r="C337" s="3">
        <v>1.0</v>
      </c>
      <c r="D337" s="3">
        <v>68.0</v>
      </c>
      <c r="E337" s="3"/>
    </row>
    <row r="338">
      <c r="A338" s="3">
        <v>336.0</v>
      </c>
      <c r="B338" s="3">
        <v>4329.0</v>
      </c>
      <c r="C338" s="3">
        <v>1.0</v>
      </c>
      <c r="D338" s="3">
        <v>47.0</v>
      </c>
      <c r="E338" s="3"/>
    </row>
    <row r="339">
      <c r="A339" s="3">
        <v>337.0</v>
      </c>
      <c r="B339" s="3">
        <v>22540.0</v>
      </c>
      <c r="C339" s="3">
        <v>3.0</v>
      </c>
      <c r="D339" s="3">
        <v>285.0</v>
      </c>
      <c r="E339" s="3"/>
    </row>
    <row r="340">
      <c r="A340" s="3">
        <v>338.0</v>
      </c>
      <c r="B340" s="3">
        <v>23912.0</v>
      </c>
      <c r="C340" s="3">
        <v>3.0</v>
      </c>
      <c r="D340" s="3">
        <v>238.0</v>
      </c>
      <c r="E340" s="3"/>
    </row>
    <row r="341">
      <c r="A341" s="3">
        <v>339.0</v>
      </c>
      <c r="B341" s="3">
        <v>7559.0</v>
      </c>
      <c r="C341" s="3">
        <v>2.0</v>
      </c>
      <c r="D341" s="3">
        <v>65.0</v>
      </c>
      <c r="E341" s="3"/>
    </row>
    <row r="342">
      <c r="A342" s="3">
        <v>340.0</v>
      </c>
      <c r="B342" s="3">
        <v>13779.0</v>
      </c>
      <c r="C342" s="3">
        <v>1.0</v>
      </c>
      <c r="D342" s="3">
        <v>161.0</v>
      </c>
      <c r="E342" s="3"/>
    </row>
    <row r="343">
      <c r="A343" s="3">
        <v>341.0</v>
      </c>
      <c r="B343" s="3">
        <v>4628.0</v>
      </c>
      <c r="C343" s="3">
        <v>1.0</v>
      </c>
      <c r="D343" s="3">
        <v>58.0</v>
      </c>
      <c r="E343" s="3"/>
    </row>
    <row r="344">
      <c r="A344" s="3">
        <v>342.0</v>
      </c>
      <c r="B344" s="3">
        <v>3804.0</v>
      </c>
      <c r="C344" s="3">
        <v>2.0</v>
      </c>
      <c r="D344" s="3">
        <v>31.0</v>
      </c>
      <c r="E344" s="3"/>
    </row>
    <row r="345">
      <c r="A345" s="3">
        <v>343.0</v>
      </c>
      <c r="B345" s="3">
        <v>7859.0</v>
      </c>
      <c r="C345" s="3">
        <v>1.0</v>
      </c>
      <c r="D345" s="3">
        <v>98.0</v>
      </c>
      <c r="E345" s="3"/>
    </row>
    <row r="346">
      <c r="A346" s="3">
        <v>344.0</v>
      </c>
      <c r="B346" s="3">
        <v>4699.0</v>
      </c>
      <c r="C346" s="3">
        <v>2.0</v>
      </c>
      <c r="D346" s="3">
        <v>58.0</v>
      </c>
      <c r="E346" s="3"/>
    </row>
    <row r="347">
      <c r="A347" s="3">
        <v>345.0</v>
      </c>
      <c r="B347" s="3">
        <v>12204.0</v>
      </c>
      <c r="C347" s="3">
        <v>2.0</v>
      </c>
      <c r="D347" s="3">
        <v>74.0</v>
      </c>
      <c r="E347" s="3"/>
    </row>
    <row r="348">
      <c r="A348" s="3">
        <v>346.0</v>
      </c>
      <c r="B348" s="3">
        <v>4873.0</v>
      </c>
      <c r="C348" s="3">
        <v>1.0</v>
      </c>
      <c r="D348" s="3">
        <v>78.0</v>
      </c>
      <c r="E348" s="3"/>
    </row>
    <row r="349">
      <c r="A349" s="3">
        <v>347.0</v>
      </c>
      <c r="B349" s="3">
        <v>3560.0</v>
      </c>
      <c r="C349" s="3">
        <v>1.0</v>
      </c>
      <c r="D349" s="3">
        <v>57.0</v>
      </c>
      <c r="E349" s="3"/>
    </row>
    <row r="350">
      <c r="A350" s="3">
        <v>348.0</v>
      </c>
      <c r="B350" s="3">
        <v>5311.0</v>
      </c>
      <c r="C350" s="3">
        <v>1.0</v>
      </c>
      <c r="D350" s="3">
        <v>56.0</v>
      </c>
      <c r="E350" s="3"/>
    </row>
    <row r="351">
      <c r="A351" s="3">
        <v>349.0</v>
      </c>
      <c r="B351" s="3">
        <v>31309.0</v>
      </c>
      <c r="C351" s="3">
        <v>3.0</v>
      </c>
      <c r="D351" s="3">
        <v>460.0</v>
      </c>
      <c r="E351" s="3"/>
    </row>
    <row r="352">
      <c r="A352" s="3">
        <v>350.0</v>
      </c>
      <c r="B352" s="3">
        <v>26692.0</v>
      </c>
      <c r="C352" s="3">
        <v>2.0</v>
      </c>
      <c r="D352" s="3">
        <v>356.0</v>
      </c>
      <c r="E352" s="3"/>
    </row>
    <row r="353">
      <c r="A353" s="3">
        <v>351.0</v>
      </c>
      <c r="B353" s="3">
        <v>26710.0</v>
      </c>
      <c r="C353" s="3">
        <v>3.0</v>
      </c>
      <c r="D353" s="3">
        <v>361.0</v>
      </c>
      <c r="E353" s="3"/>
    </row>
    <row r="354">
      <c r="A354" s="3">
        <v>352.0</v>
      </c>
      <c r="B354" s="3">
        <v>3580.0</v>
      </c>
      <c r="C354" s="3">
        <v>1.0</v>
      </c>
      <c r="D354" s="3">
        <v>38.0</v>
      </c>
      <c r="E354" s="3"/>
    </row>
    <row r="355">
      <c r="A355" s="3">
        <v>353.0</v>
      </c>
      <c r="B355" s="3">
        <v>3983.0</v>
      </c>
      <c r="C355" s="3">
        <v>1.0</v>
      </c>
      <c r="D355" s="3">
        <v>48.0</v>
      </c>
      <c r="E355" s="3"/>
    </row>
    <row r="356">
      <c r="A356" s="3">
        <v>354.0</v>
      </c>
      <c r="B356" s="3">
        <v>23043.0</v>
      </c>
      <c r="C356" s="3">
        <v>3.0</v>
      </c>
      <c r="D356" s="3">
        <v>315.0</v>
      </c>
      <c r="E356" s="3"/>
    </row>
    <row r="357">
      <c r="A357" s="3">
        <v>355.0</v>
      </c>
      <c r="B357" s="3">
        <v>3824.0</v>
      </c>
      <c r="C357" s="3">
        <v>1.0</v>
      </c>
      <c r="D357" s="3">
        <v>61.0</v>
      </c>
      <c r="E357" s="3"/>
    </row>
    <row r="358">
      <c r="A358" s="3">
        <v>356.0</v>
      </c>
      <c r="B358" s="3">
        <v>29143.0</v>
      </c>
      <c r="C358" s="3">
        <v>2.0</v>
      </c>
      <c r="D358" s="3">
        <v>386.0</v>
      </c>
      <c r="E358" s="3"/>
    </row>
    <row r="359">
      <c r="A359" s="3">
        <v>357.0</v>
      </c>
      <c r="B359" s="3">
        <v>4132.0</v>
      </c>
      <c r="C359" s="3">
        <v>1.0</v>
      </c>
      <c r="D359" s="3">
        <v>50.0</v>
      </c>
      <c r="E359" s="3"/>
    </row>
    <row r="360">
      <c r="A360" s="3">
        <v>358.0</v>
      </c>
      <c r="B360" s="3">
        <v>27794.0</v>
      </c>
      <c r="C360" s="3">
        <v>3.0</v>
      </c>
      <c r="D360" s="3">
        <v>397.0</v>
      </c>
      <c r="E360" s="3"/>
    </row>
    <row r="361">
      <c r="A361" s="3">
        <v>359.0</v>
      </c>
      <c r="B361" s="3">
        <v>3718.0</v>
      </c>
      <c r="C361" s="3">
        <v>1.0</v>
      </c>
      <c r="D361" s="3">
        <v>60.0</v>
      </c>
      <c r="E361" s="3"/>
    </row>
    <row r="362">
      <c r="A362" s="3">
        <v>360.0</v>
      </c>
      <c r="B362" s="3">
        <v>19397.0</v>
      </c>
      <c r="C362" s="3">
        <v>3.0</v>
      </c>
      <c r="D362" s="3">
        <v>312.0</v>
      </c>
      <c r="E362" s="3"/>
    </row>
    <row r="363">
      <c r="A363" s="3">
        <v>361.0</v>
      </c>
      <c r="B363" s="3">
        <v>6987.0</v>
      </c>
      <c r="C363" s="3">
        <v>1.0</v>
      </c>
      <c r="D363" s="3">
        <v>36.0</v>
      </c>
      <c r="E363" s="3"/>
    </row>
    <row r="364">
      <c r="A364" s="3">
        <v>362.0</v>
      </c>
      <c r="B364" s="3">
        <v>20496.0</v>
      </c>
      <c r="C364" s="3">
        <v>2.0</v>
      </c>
      <c r="D364" s="3">
        <v>294.0</v>
      </c>
      <c r="E364" s="3"/>
    </row>
    <row r="365">
      <c r="A365" s="3">
        <v>363.0</v>
      </c>
      <c r="B365" s="3">
        <v>3930.0</v>
      </c>
      <c r="C365" s="3">
        <v>2.0</v>
      </c>
      <c r="D365" s="3">
        <v>54.0</v>
      </c>
      <c r="E365" s="3"/>
    </row>
    <row r="366">
      <c r="A366" s="3">
        <v>364.0</v>
      </c>
      <c r="B366" s="3">
        <v>12494.0</v>
      </c>
      <c r="C366" s="3">
        <v>2.0</v>
      </c>
      <c r="D366" s="3">
        <v>229.0</v>
      </c>
      <c r="E366" s="3"/>
    </row>
    <row r="367">
      <c r="A367" s="3">
        <v>365.0</v>
      </c>
      <c r="B367" s="3">
        <v>13310.0</v>
      </c>
      <c r="C367" s="3">
        <v>2.0</v>
      </c>
      <c r="D367" s="3">
        <v>157.0</v>
      </c>
      <c r="E367" s="3"/>
    </row>
    <row r="368">
      <c r="A368" s="3">
        <v>366.0</v>
      </c>
      <c r="B368" s="3">
        <v>33787.0</v>
      </c>
      <c r="C368" s="3">
        <v>3.0</v>
      </c>
      <c r="D368" s="3">
        <v>407.0</v>
      </c>
      <c r="E368" s="3"/>
    </row>
    <row r="369">
      <c r="A369" s="3">
        <v>367.0</v>
      </c>
      <c r="B369" s="3">
        <v>7741.0</v>
      </c>
      <c r="C369" s="3">
        <v>1.0</v>
      </c>
      <c r="D369" s="3">
        <v>56.0</v>
      </c>
      <c r="E369" s="3"/>
    </row>
    <row r="370">
      <c r="A370" s="3">
        <v>368.0</v>
      </c>
      <c r="B370" s="3">
        <v>10094.0</v>
      </c>
      <c r="C370" s="3">
        <v>1.0</v>
      </c>
      <c r="D370" s="3">
        <v>89.0</v>
      </c>
      <c r="E370" s="3"/>
    </row>
    <row r="371">
      <c r="A371" s="3">
        <v>369.0</v>
      </c>
      <c r="B371" s="3">
        <v>17997.0</v>
      </c>
      <c r="C371" s="3">
        <v>3.0</v>
      </c>
      <c r="D371" s="3">
        <v>206.0</v>
      </c>
      <c r="E371" s="3"/>
    </row>
    <row r="372">
      <c r="A372" s="3">
        <v>370.0</v>
      </c>
      <c r="B372" s="3">
        <v>21498.0</v>
      </c>
      <c r="C372" s="3">
        <v>3.0</v>
      </c>
      <c r="D372" s="3">
        <v>197.0</v>
      </c>
      <c r="E372" s="3"/>
    </row>
    <row r="373">
      <c r="A373" s="3">
        <v>371.0</v>
      </c>
      <c r="B373" s="3">
        <v>27891.0</v>
      </c>
      <c r="C373" s="3">
        <v>2.0</v>
      </c>
      <c r="D373" s="3">
        <v>360.0</v>
      </c>
      <c r="E373" s="3"/>
    </row>
    <row r="374">
      <c r="A374" s="3">
        <v>372.0</v>
      </c>
      <c r="B374" s="3">
        <v>7473.0</v>
      </c>
      <c r="C374" s="3">
        <v>1.0</v>
      </c>
      <c r="D374" s="3">
        <v>97.0</v>
      </c>
      <c r="E374" s="3"/>
    </row>
    <row r="375">
      <c r="A375" s="3">
        <v>373.0</v>
      </c>
      <c r="B375" s="3">
        <v>15444.0</v>
      </c>
      <c r="C375" s="3">
        <v>1.0</v>
      </c>
      <c r="D375" s="3">
        <v>260.0</v>
      </c>
      <c r="E375" s="3"/>
    </row>
    <row r="376">
      <c r="A376" s="3">
        <v>374.0</v>
      </c>
      <c r="B376" s="3">
        <v>11128.0</v>
      </c>
      <c r="C376" s="3">
        <v>2.0</v>
      </c>
      <c r="D376" s="3">
        <v>210.0</v>
      </c>
      <c r="E376" s="3"/>
    </row>
    <row r="377">
      <c r="A377" s="3">
        <v>375.0</v>
      </c>
      <c r="B377" s="3">
        <v>28159.0</v>
      </c>
      <c r="C377" s="3">
        <v>3.0</v>
      </c>
      <c r="D377" s="3">
        <v>411.0</v>
      </c>
      <c r="E377" s="3"/>
    </row>
    <row r="378">
      <c r="A378" s="3">
        <v>376.0</v>
      </c>
      <c r="B378" s="3">
        <v>19799.0</v>
      </c>
      <c r="C378" s="3">
        <v>2.0</v>
      </c>
      <c r="D378" s="3">
        <v>304.0</v>
      </c>
      <c r="E378" s="3"/>
    </row>
    <row r="379">
      <c r="A379" s="3">
        <v>377.0</v>
      </c>
      <c r="B379" s="3">
        <v>26522.0</v>
      </c>
      <c r="C379" s="3">
        <v>3.0</v>
      </c>
      <c r="D379" s="3">
        <v>260.0</v>
      </c>
      <c r="E379" s="3"/>
    </row>
    <row r="380">
      <c r="A380" s="3">
        <v>378.0</v>
      </c>
      <c r="B380" s="3">
        <v>34837.0</v>
      </c>
      <c r="C380" s="3">
        <v>3.0</v>
      </c>
      <c r="D380" s="3">
        <v>576.0</v>
      </c>
      <c r="E380" s="3"/>
    </row>
    <row r="381">
      <c r="A381" s="3">
        <v>379.0</v>
      </c>
      <c r="B381" s="3">
        <v>33174.0</v>
      </c>
      <c r="C381" s="3">
        <v>3.0</v>
      </c>
      <c r="D381" s="3">
        <v>288.0</v>
      </c>
      <c r="E381" s="3"/>
    </row>
    <row r="382">
      <c r="A382" s="3">
        <v>380.0</v>
      </c>
      <c r="B382" s="3">
        <v>32412.0</v>
      </c>
      <c r="C382" s="3">
        <v>2.0</v>
      </c>
      <c r="D382" s="3">
        <v>426.0</v>
      </c>
      <c r="E382" s="3"/>
    </row>
    <row r="383">
      <c r="A383" s="3">
        <v>381.0</v>
      </c>
      <c r="B383" s="3">
        <v>15710.0</v>
      </c>
      <c r="C383" s="3">
        <v>1.0</v>
      </c>
      <c r="D383" s="3">
        <v>119.0</v>
      </c>
      <c r="E383" s="3"/>
    </row>
    <row r="384">
      <c r="A384" s="3">
        <v>382.0</v>
      </c>
      <c r="B384" s="3">
        <v>4150.0</v>
      </c>
      <c r="C384" s="3">
        <v>1.0</v>
      </c>
      <c r="D384" s="3">
        <v>64.0</v>
      </c>
      <c r="E384" s="3"/>
    </row>
    <row r="385">
      <c r="A385" s="3">
        <v>383.0</v>
      </c>
      <c r="B385" s="3">
        <v>31432.0</v>
      </c>
      <c r="C385" s="3">
        <v>2.0</v>
      </c>
      <c r="D385" s="3">
        <v>356.0</v>
      </c>
      <c r="E385" s="3"/>
    </row>
    <row r="386">
      <c r="A386" s="3">
        <v>384.0</v>
      </c>
      <c r="B386" s="3">
        <v>21360.0</v>
      </c>
      <c r="C386" s="3">
        <v>3.0</v>
      </c>
      <c r="D386" s="3">
        <v>273.0</v>
      </c>
      <c r="E386" s="3"/>
    </row>
    <row r="387">
      <c r="A387" s="3">
        <v>385.0</v>
      </c>
      <c r="B387" s="3">
        <v>41975.0</v>
      </c>
      <c r="C387" s="3">
        <v>3.0</v>
      </c>
      <c r="D387" s="3">
        <v>648.0</v>
      </c>
      <c r="E387" s="3"/>
    </row>
    <row r="388">
      <c r="A388" s="3">
        <v>386.0</v>
      </c>
      <c r="B388" s="3">
        <v>35910.0</v>
      </c>
      <c r="C388" s="3">
        <v>3.0</v>
      </c>
      <c r="D388" s="3">
        <v>294.0</v>
      </c>
      <c r="E388" s="3"/>
    </row>
    <row r="389">
      <c r="A389" s="3">
        <v>387.0</v>
      </c>
      <c r="B389" s="3">
        <v>17398.0</v>
      </c>
      <c r="C389" s="3">
        <v>2.0</v>
      </c>
      <c r="D389" s="3">
        <v>139.0</v>
      </c>
      <c r="E389" s="3"/>
    </row>
    <row r="390">
      <c r="A390" s="3">
        <v>388.0</v>
      </c>
      <c r="B390" s="3">
        <v>47902.0</v>
      </c>
      <c r="C390" s="3">
        <v>3.0</v>
      </c>
      <c r="D390" s="3">
        <v>560.0</v>
      </c>
      <c r="E390" s="3"/>
    </row>
    <row r="391">
      <c r="A391" s="3">
        <v>389.0</v>
      </c>
      <c r="B391" s="3">
        <v>25921.0</v>
      </c>
      <c r="C391" s="3">
        <v>3.0</v>
      </c>
      <c r="D391" s="3">
        <v>255.0</v>
      </c>
      <c r="E391" s="3"/>
    </row>
    <row r="392">
      <c r="A392" s="3">
        <v>390.0</v>
      </c>
      <c r="B392" s="3">
        <v>16363.0</v>
      </c>
      <c r="C392" s="3">
        <v>2.0</v>
      </c>
      <c r="D392" s="3">
        <v>241.0</v>
      </c>
      <c r="E392" s="3"/>
    </row>
    <row r="393">
      <c r="A393" s="3">
        <v>391.0</v>
      </c>
      <c r="B393" s="3">
        <v>18855.0</v>
      </c>
      <c r="C393" s="3">
        <v>3.0</v>
      </c>
      <c r="D393" s="3">
        <v>252.0</v>
      </c>
      <c r="E393" s="3"/>
    </row>
    <row r="394">
      <c r="A394" s="3">
        <v>392.0</v>
      </c>
      <c r="B394" s="3">
        <v>18396.0</v>
      </c>
      <c r="C394" s="3">
        <v>3.0</v>
      </c>
      <c r="D394" s="3">
        <v>230.0</v>
      </c>
      <c r="E394" s="3"/>
    </row>
    <row r="395">
      <c r="A395" s="3">
        <v>393.0</v>
      </c>
      <c r="B395" s="3">
        <v>4085.0</v>
      </c>
      <c r="C395" s="3">
        <v>1.0</v>
      </c>
      <c r="D395" s="3">
        <v>49.0</v>
      </c>
      <c r="E395" s="3"/>
    </row>
    <row r="396">
      <c r="A396" s="3">
        <v>394.0</v>
      </c>
      <c r="B396" s="3">
        <v>13210.0</v>
      </c>
      <c r="C396" s="3">
        <v>1.0</v>
      </c>
      <c r="D396" s="3">
        <v>116.0</v>
      </c>
      <c r="E396" s="3"/>
    </row>
    <row r="397">
      <c r="A397" s="3">
        <v>395.0</v>
      </c>
      <c r="B397" s="3">
        <v>18690.0</v>
      </c>
      <c r="C397" s="3">
        <v>2.0</v>
      </c>
      <c r="D397" s="3">
        <v>278.0</v>
      </c>
      <c r="E397" s="3"/>
    </row>
    <row r="398">
      <c r="A398" s="3">
        <v>396.0</v>
      </c>
      <c r="B398" s="3">
        <v>29502.0</v>
      </c>
      <c r="C398" s="3">
        <v>2.0</v>
      </c>
      <c r="D398" s="3">
        <v>378.0</v>
      </c>
      <c r="E398" s="3"/>
    </row>
    <row r="399">
      <c r="A399" s="3">
        <v>397.0</v>
      </c>
      <c r="B399" s="3">
        <v>27108.0</v>
      </c>
      <c r="C399" s="3">
        <v>2.0</v>
      </c>
      <c r="D399" s="3">
        <v>339.0</v>
      </c>
      <c r="E399" s="3"/>
    </row>
    <row r="400">
      <c r="A400" s="3">
        <v>398.0</v>
      </c>
      <c r="B400" s="3">
        <v>20973.0</v>
      </c>
      <c r="C400" s="3">
        <v>3.0</v>
      </c>
      <c r="D400" s="3">
        <v>351.0</v>
      </c>
      <c r="E400" s="3"/>
    </row>
    <row r="401">
      <c r="A401" s="3">
        <v>399.0</v>
      </c>
      <c r="B401" s="3">
        <v>7034.0</v>
      </c>
      <c r="C401" s="3">
        <v>2.0</v>
      </c>
      <c r="D401" s="3">
        <v>81.0</v>
      </c>
      <c r="E401" s="3"/>
    </row>
    <row r="402">
      <c r="A402" s="3">
        <v>400.0</v>
      </c>
      <c r="B402" s="3">
        <v>4146.0</v>
      </c>
      <c r="C402" s="3">
        <v>2.0</v>
      </c>
      <c r="D402" s="3">
        <v>65.0</v>
      </c>
      <c r="E402" s="3"/>
    </row>
    <row r="403">
      <c r="A403" s="3">
        <v>401.0</v>
      </c>
      <c r="B403" s="3">
        <v>25735.0</v>
      </c>
      <c r="C403" s="3">
        <v>3.0</v>
      </c>
      <c r="D403" s="3">
        <v>326.0</v>
      </c>
      <c r="E403" s="3"/>
    </row>
    <row r="404">
      <c r="A404" s="3">
        <v>402.0</v>
      </c>
      <c r="B404" s="3">
        <v>15668.0</v>
      </c>
      <c r="C404" s="3">
        <v>1.0</v>
      </c>
      <c r="D404" s="3">
        <v>201.0</v>
      </c>
      <c r="E404" s="3"/>
    </row>
    <row r="405">
      <c r="A405" s="3">
        <v>403.0</v>
      </c>
      <c r="B405" s="3">
        <v>31693.0</v>
      </c>
      <c r="C405" s="3">
        <v>2.0</v>
      </c>
      <c r="D405" s="3">
        <v>486.0</v>
      </c>
      <c r="E405" s="3"/>
    </row>
    <row r="406">
      <c r="A406" s="3">
        <v>404.0</v>
      </c>
      <c r="B406" s="3">
        <v>24192.0</v>
      </c>
      <c r="C406" s="3">
        <v>2.0</v>
      </c>
      <c r="D406" s="3">
        <v>274.0</v>
      </c>
      <c r="E406" s="3"/>
    </row>
    <row r="407">
      <c r="A407" s="3">
        <v>405.0</v>
      </c>
      <c r="B407" s="3">
        <v>4247.0</v>
      </c>
      <c r="C407" s="3">
        <v>2.0</v>
      </c>
      <c r="D407" s="3">
        <v>65.0</v>
      </c>
      <c r="E407" s="3"/>
    </row>
    <row r="408">
      <c r="A408" s="3">
        <v>406.0</v>
      </c>
      <c r="B408" s="3">
        <v>16526.0</v>
      </c>
      <c r="C408" s="3">
        <v>2.0</v>
      </c>
      <c r="D408" s="3">
        <v>253.0</v>
      </c>
      <c r="E408" s="3"/>
    </row>
    <row r="409">
      <c r="A409" s="3">
        <v>407.0</v>
      </c>
      <c r="B409" s="3">
        <v>9446.0</v>
      </c>
      <c r="C409" s="3">
        <v>3.0</v>
      </c>
      <c r="D409" s="3">
        <v>65.0</v>
      </c>
      <c r="E409" s="3"/>
    </row>
    <row r="410">
      <c r="A410" s="3">
        <v>408.0</v>
      </c>
      <c r="B410" s="3">
        <v>19665.0</v>
      </c>
      <c r="C410" s="3">
        <v>3.0</v>
      </c>
      <c r="D410" s="3">
        <v>283.0</v>
      </c>
      <c r="E410" s="3"/>
    </row>
    <row r="411">
      <c r="A411" s="3">
        <v>409.0</v>
      </c>
      <c r="B411" s="3">
        <v>15881.0</v>
      </c>
      <c r="C411" s="3">
        <v>1.0</v>
      </c>
      <c r="D411" s="3">
        <v>81.0</v>
      </c>
      <c r="E411" s="3"/>
    </row>
    <row r="412">
      <c r="A412" s="3">
        <v>410.0</v>
      </c>
      <c r="B412" s="3">
        <v>6980.0</v>
      </c>
      <c r="C412" s="3">
        <v>2.0</v>
      </c>
      <c r="D412" s="3">
        <v>106.0</v>
      </c>
      <c r="E412" s="3"/>
    </row>
    <row r="413">
      <c r="A413" s="3">
        <v>411.0</v>
      </c>
      <c r="B413" s="3">
        <v>7919.0</v>
      </c>
      <c r="C413" s="3">
        <v>1.0</v>
      </c>
      <c r="D413" s="3">
        <v>136.0</v>
      </c>
      <c r="E413" s="3"/>
    </row>
    <row r="414">
      <c r="A414" s="3">
        <v>412.0</v>
      </c>
      <c r="B414" s="3">
        <v>22923.0</v>
      </c>
      <c r="C414" s="3">
        <v>3.0</v>
      </c>
      <c r="D414" s="3">
        <v>226.0</v>
      </c>
      <c r="E414" s="3"/>
    </row>
    <row r="415">
      <c r="A415" s="3">
        <v>413.0</v>
      </c>
      <c r="B415" s="3">
        <v>15266.0</v>
      </c>
      <c r="C415" s="3">
        <v>3.0</v>
      </c>
      <c r="D415" s="3">
        <v>239.0</v>
      </c>
      <c r="E415" s="3"/>
    </row>
    <row r="416">
      <c r="A416" s="3">
        <v>414.0</v>
      </c>
      <c r="B416" s="3">
        <v>20656.0</v>
      </c>
      <c r="C416" s="3">
        <v>3.0</v>
      </c>
      <c r="D416" s="3">
        <v>193.0</v>
      </c>
      <c r="E416" s="3"/>
    </row>
    <row r="417">
      <c r="A417" s="3">
        <v>415.0</v>
      </c>
      <c r="B417" s="3">
        <v>16263.0</v>
      </c>
      <c r="C417" s="3">
        <v>1.0</v>
      </c>
      <c r="D417" s="3">
        <v>131.0</v>
      </c>
      <c r="E417" s="3"/>
    </row>
    <row r="418">
      <c r="A418" s="3">
        <v>416.0</v>
      </c>
      <c r="B418" s="3">
        <v>20077.0</v>
      </c>
      <c r="C418" s="3">
        <v>2.0</v>
      </c>
      <c r="D418" s="3">
        <v>210.0</v>
      </c>
      <c r="E418" s="3"/>
    </row>
    <row r="419">
      <c r="A419" s="3">
        <v>417.0</v>
      </c>
      <c r="B419" s="3">
        <v>15783.0</v>
      </c>
      <c r="C419" s="3">
        <v>3.0</v>
      </c>
      <c r="D419" s="3">
        <v>303.0</v>
      </c>
      <c r="E419" s="3"/>
    </row>
    <row r="420">
      <c r="A420" s="3">
        <v>418.0</v>
      </c>
      <c r="B420" s="3">
        <v>14853.0</v>
      </c>
      <c r="C420" s="3">
        <v>3.0</v>
      </c>
      <c r="D420" s="3">
        <v>264.0</v>
      </c>
      <c r="E420" s="3"/>
    </row>
    <row r="421">
      <c r="A421" s="3">
        <v>419.0</v>
      </c>
      <c r="B421" s="3">
        <v>5264.0</v>
      </c>
      <c r="C421" s="3">
        <v>2.0</v>
      </c>
      <c r="D421" s="3">
        <v>32.0</v>
      </c>
      <c r="E421" s="3"/>
    </row>
    <row r="422">
      <c r="A422" s="3">
        <v>420.0</v>
      </c>
      <c r="B422" s="3">
        <v>31748.0</v>
      </c>
      <c r="C422" s="3">
        <v>3.0</v>
      </c>
      <c r="D422" s="3">
        <v>373.0</v>
      </c>
      <c r="E422" s="3"/>
    </row>
    <row r="423">
      <c r="A423" s="3">
        <v>421.0</v>
      </c>
      <c r="B423" s="3">
        <v>4490.0</v>
      </c>
      <c r="C423" s="3">
        <v>1.0</v>
      </c>
      <c r="D423" s="3">
        <v>81.0</v>
      </c>
      <c r="E423" s="3"/>
    </row>
    <row r="424">
      <c r="A424" s="3">
        <v>422.0</v>
      </c>
      <c r="B424" s="3">
        <v>25318.0</v>
      </c>
      <c r="C424" s="3">
        <v>2.0</v>
      </c>
      <c r="D424" s="3">
        <v>392.0</v>
      </c>
      <c r="E424" s="3"/>
    </row>
    <row r="425">
      <c r="A425" s="3">
        <v>423.0</v>
      </c>
      <c r="B425" s="3">
        <v>4344.0</v>
      </c>
      <c r="C425" s="3">
        <v>1.0</v>
      </c>
      <c r="D425" s="3">
        <v>48.0</v>
      </c>
      <c r="E425" s="3"/>
    </row>
    <row r="426">
      <c r="A426" s="3">
        <v>424.0</v>
      </c>
      <c r="B426" s="3">
        <v>4411.0</v>
      </c>
      <c r="C426" s="3">
        <v>1.0</v>
      </c>
      <c r="D426" s="3">
        <v>83.0</v>
      </c>
      <c r="E426" s="3"/>
    </row>
    <row r="427">
      <c r="A427" s="3">
        <v>425.0</v>
      </c>
      <c r="B427" s="3">
        <v>13300.0</v>
      </c>
      <c r="C427" s="3">
        <v>2.0</v>
      </c>
      <c r="D427" s="3">
        <v>206.0</v>
      </c>
      <c r="E427" s="3"/>
    </row>
    <row r="428">
      <c r="A428" s="3">
        <v>426.0</v>
      </c>
      <c r="B428" s="3">
        <v>19960.0</v>
      </c>
      <c r="C428" s="3">
        <v>2.0</v>
      </c>
      <c r="D428" s="3">
        <v>230.0</v>
      </c>
      <c r="E428" s="3"/>
    </row>
    <row r="429">
      <c r="A429" s="3">
        <v>427.0</v>
      </c>
      <c r="B429" s="3">
        <v>23081.0</v>
      </c>
      <c r="C429" s="3">
        <v>3.0</v>
      </c>
      <c r="D429" s="3">
        <v>371.0</v>
      </c>
      <c r="E429" s="3"/>
    </row>
    <row r="430">
      <c r="A430" s="3">
        <v>428.0</v>
      </c>
      <c r="B430" s="3">
        <v>27739.0</v>
      </c>
      <c r="C430" s="3">
        <v>3.0</v>
      </c>
      <c r="D430" s="3">
        <v>426.0</v>
      </c>
      <c r="E430" s="3"/>
    </row>
    <row r="431">
      <c r="A431" s="3">
        <v>429.0</v>
      </c>
      <c r="B431" s="3">
        <v>13534.0</v>
      </c>
      <c r="C431" s="3">
        <v>1.0</v>
      </c>
      <c r="D431" s="3">
        <v>68.0</v>
      </c>
      <c r="E431" s="3"/>
    </row>
    <row r="432">
      <c r="A432" s="3">
        <v>430.0</v>
      </c>
      <c r="B432" s="3">
        <v>4040.0</v>
      </c>
      <c r="C432" s="3">
        <v>1.0</v>
      </c>
      <c r="D432" s="3">
        <v>70.0</v>
      </c>
      <c r="E432" s="3"/>
    </row>
    <row r="433">
      <c r="A433" s="3">
        <v>431.0</v>
      </c>
      <c r="B433" s="3">
        <v>3779.0</v>
      </c>
      <c r="C433" s="3">
        <v>1.0</v>
      </c>
      <c r="D433" s="3">
        <v>37.0</v>
      </c>
      <c r="E433" s="3"/>
    </row>
    <row r="434">
      <c r="A434" s="3">
        <v>432.0</v>
      </c>
      <c r="B434" s="3">
        <v>23571.0</v>
      </c>
      <c r="C434" s="3">
        <v>2.0</v>
      </c>
      <c r="D434" s="3">
        <v>364.0</v>
      </c>
      <c r="E434" s="3"/>
    </row>
    <row r="435">
      <c r="A435" s="3">
        <v>433.0</v>
      </c>
      <c r="B435" s="3">
        <v>36945.0</v>
      </c>
      <c r="C435" s="3">
        <v>3.0</v>
      </c>
      <c r="D435" s="3">
        <v>471.0</v>
      </c>
      <c r="E435" s="3"/>
    </row>
    <row r="436">
      <c r="A436" s="3">
        <v>434.0</v>
      </c>
      <c r="B436" s="3">
        <v>18705.0</v>
      </c>
      <c r="C436" s="3">
        <v>3.0</v>
      </c>
      <c r="D436" s="3">
        <v>296.0</v>
      </c>
      <c r="E436" s="3"/>
    </row>
    <row r="437">
      <c r="A437" s="3">
        <v>435.0</v>
      </c>
      <c r="B437" s="3">
        <v>27232.0</v>
      </c>
      <c r="C437" s="3">
        <v>2.0</v>
      </c>
      <c r="D437" s="3">
        <v>311.0</v>
      </c>
      <c r="E437" s="3"/>
    </row>
    <row r="438">
      <c r="A438" s="3">
        <v>436.0</v>
      </c>
      <c r="B438" s="3">
        <v>4112.0</v>
      </c>
      <c r="C438" s="3">
        <v>1.0</v>
      </c>
      <c r="D438" s="3">
        <v>39.0</v>
      </c>
      <c r="E438" s="3"/>
    </row>
    <row r="439">
      <c r="A439" s="3">
        <v>437.0</v>
      </c>
      <c r="B439" s="3">
        <v>7337.0</v>
      </c>
      <c r="C439" s="3">
        <v>1.0</v>
      </c>
      <c r="D439" s="3">
        <v>118.0</v>
      </c>
      <c r="E439" s="3"/>
    </row>
    <row r="440">
      <c r="A440" s="3">
        <v>438.0</v>
      </c>
      <c r="B440" s="3">
        <v>20305.0</v>
      </c>
      <c r="C440" s="3">
        <v>2.0</v>
      </c>
      <c r="D440" s="3">
        <v>314.0</v>
      </c>
      <c r="E440" s="3"/>
    </row>
    <row r="441">
      <c r="A441" s="3">
        <v>439.0</v>
      </c>
      <c r="B441" s="3">
        <v>13176.0</v>
      </c>
      <c r="C441" s="3">
        <v>3.0</v>
      </c>
      <c r="D441" s="3">
        <v>173.0</v>
      </c>
      <c r="E441" s="3"/>
    </row>
    <row r="442">
      <c r="A442" s="3">
        <v>440.0</v>
      </c>
      <c r="B442" s="3">
        <v>28050.0</v>
      </c>
      <c r="C442" s="3">
        <v>2.0</v>
      </c>
      <c r="D442" s="3">
        <v>140.0</v>
      </c>
      <c r="E442" s="3"/>
    </row>
    <row r="443">
      <c r="A443" s="3">
        <v>441.0</v>
      </c>
      <c r="B443" s="3">
        <v>3673.0</v>
      </c>
      <c r="C443" s="3">
        <v>1.0</v>
      </c>
      <c r="D443" s="3">
        <v>61.0</v>
      </c>
      <c r="E443" s="3"/>
    </row>
    <row r="444">
      <c r="A444" s="3">
        <v>442.0</v>
      </c>
      <c r="B444" s="3">
        <v>27934.0</v>
      </c>
      <c r="C444" s="3">
        <v>3.0</v>
      </c>
      <c r="D444" s="3">
        <v>294.0</v>
      </c>
      <c r="E444" s="3"/>
    </row>
    <row r="445">
      <c r="A445" s="3">
        <v>443.0</v>
      </c>
      <c r="B445" s="3">
        <v>23939.0</v>
      </c>
      <c r="C445" s="3">
        <v>2.0</v>
      </c>
      <c r="D445" s="3">
        <v>174.0</v>
      </c>
      <c r="E445" s="3"/>
    </row>
    <row r="446">
      <c r="A446" s="3">
        <v>444.0</v>
      </c>
      <c r="B446" s="3">
        <v>32836.0</v>
      </c>
      <c r="C446" s="3">
        <v>3.0</v>
      </c>
      <c r="D446" s="3">
        <v>513.0</v>
      </c>
      <c r="E446" s="3"/>
    </row>
    <row r="447">
      <c r="A447" s="3">
        <v>445.0</v>
      </c>
      <c r="B447" s="3">
        <v>16664.0</v>
      </c>
      <c r="C447" s="3">
        <v>2.0</v>
      </c>
      <c r="D447" s="3">
        <v>238.0</v>
      </c>
      <c r="E447" s="3"/>
    </row>
    <row r="448">
      <c r="A448" s="3">
        <v>446.0</v>
      </c>
      <c r="B448" s="3">
        <v>6096.0</v>
      </c>
      <c r="C448" s="3">
        <v>1.0</v>
      </c>
      <c r="D448" s="3">
        <v>65.0</v>
      </c>
      <c r="E448" s="3"/>
    </row>
    <row r="449">
      <c r="A449" s="3">
        <v>447.0</v>
      </c>
      <c r="B449" s="3">
        <v>19524.0</v>
      </c>
      <c r="C449" s="3">
        <v>2.0</v>
      </c>
      <c r="D449" s="3">
        <v>285.0</v>
      </c>
      <c r="E449" s="3"/>
    </row>
    <row r="450">
      <c r="A450" s="3">
        <v>448.0</v>
      </c>
      <c r="B450" s="3">
        <v>16633.0</v>
      </c>
      <c r="C450" s="3">
        <v>2.0</v>
      </c>
      <c r="D450" s="3">
        <v>264.0</v>
      </c>
      <c r="E450" s="3"/>
    </row>
    <row r="451">
      <c r="A451" s="3">
        <v>449.0</v>
      </c>
      <c r="B451" s="3">
        <v>19813.0</v>
      </c>
      <c r="C451" s="3">
        <v>2.0</v>
      </c>
      <c r="D451" s="3">
        <v>252.0</v>
      </c>
      <c r="E451" s="3"/>
    </row>
    <row r="452">
      <c r="A452" s="3">
        <v>450.0</v>
      </c>
      <c r="B452" s="3">
        <v>16243.0</v>
      </c>
      <c r="C452" s="3">
        <v>1.0</v>
      </c>
      <c r="D452" s="3">
        <v>320.0</v>
      </c>
      <c r="E452" s="3"/>
    </row>
    <row r="453">
      <c r="A453" s="3">
        <v>451.0</v>
      </c>
      <c r="B453" s="3">
        <v>4873.0</v>
      </c>
      <c r="C453" s="3">
        <v>1.0</v>
      </c>
      <c r="D453" s="3">
        <v>57.0</v>
      </c>
      <c r="E453" s="3"/>
    </row>
    <row r="454">
      <c r="A454" s="3">
        <v>452.0</v>
      </c>
      <c r="B454" s="3">
        <v>14646.0</v>
      </c>
      <c r="C454" s="3">
        <v>1.0</v>
      </c>
      <c r="D454" s="3">
        <v>207.0</v>
      </c>
      <c r="E454" s="3"/>
    </row>
    <row r="455">
      <c r="A455" s="3">
        <v>453.0</v>
      </c>
      <c r="B455" s="3">
        <v>23374.0</v>
      </c>
      <c r="C455" s="3">
        <v>3.0</v>
      </c>
      <c r="D455" s="3">
        <v>345.0</v>
      </c>
      <c r="E455" s="3"/>
    </row>
    <row r="456">
      <c r="A456" s="3">
        <v>454.0</v>
      </c>
      <c r="B456" s="3">
        <v>36235.0</v>
      </c>
      <c r="C456" s="3">
        <v>3.0</v>
      </c>
      <c r="D456" s="3">
        <v>571.0</v>
      </c>
      <c r="E456" s="3"/>
    </row>
    <row r="457">
      <c r="A457" s="3">
        <v>455.0</v>
      </c>
      <c r="B457" s="3">
        <v>4647.0</v>
      </c>
      <c r="C457" s="3">
        <v>1.0</v>
      </c>
      <c r="D457" s="3">
        <v>33.0</v>
      </c>
      <c r="E457" s="3"/>
    </row>
    <row r="458">
      <c r="A458" s="3">
        <v>456.0</v>
      </c>
      <c r="B458" s="3">
        <v>4551.0</v>
      </c>
      <c r="C458" s="3">
        <v>1.0</v>
      </c>
      <c r="D458" s="3">
        <v>85.0</v>
      </c>
      <c r="E458" s="3"/>
    </row>
    <row r="459">
      <c r="A459" s="3">
        <v>457.0</v>
      </c>
      <c r="B459" s="3">
        <v>4098.0</v>
      </c>
      <c r="C459" s="3">
        <v>1.0</v>
      </c>
      <c r="D459" s="3">
        <v>42.0</v>
      </c>
      <c r="E459" s="3"/>
    </row>
    <row r="460">
      <c r="A460" s="3">
        <v>458.0</v>
      </c>
      <c r="B460" s="3">
        <v>13537.0</v>
      </c>
      <c r="C460" s="3">
        <v>2.0</v>
      </c>
      <c r="D460" s="3">
        <v>199.0</v>
      </c>
      <c r="E460" s="3"/>
    </row>
    <row r="461">
      <c r="A461" s="3">
        <v>459.0</v>
      </c>
      <c r="B461" s="3">
        <v>8419.0</v>
      </c>
      <c r="C461" s="3">
        <v>1.0</v>
      </c>
      <c r="D461" s="3">
        <v>154.0</v>
      </c>
      <c r="E461" s="3"/>
    </row>
    <row r="462">
      <c r="A462" s="3">
        <v>460.0</v>
      </c>
      <c r="B462" s="3">
        <v>7939.0</v>
      </c>
      <c r="C462" s="3">
        <v>3.0</v>
      </c>
      <c r="D462" s="3">
        <v>87.0</v>
      </c>
      <c r="E462" s="3"/>
    </row>
    <row r="463">
      <c r="A463" s="3">
        <v>461.0</v>
      </c>
      <c r="B463" s="3">
        <v>34537.0</v>
      </c>
      <c r="C463" s="3">
        <v>3.0</v>
      </c>
      <c r="D463" s="3">
        <v>356.0</v>
      </c>
      <c r="E463" s="3"/>
    </row>
    <row r="464">
      <c r="A464" s="3">
        <v>462.0</v>
      </c>
      <c r="B464" s="3">
        <v>6929.0</v>
      </c>
      <c r="C464" s="3">
        <v>1.0</v>
      </c>
      <c r="D464" s="3">
        <v>109.0</v>
      </c>
      <c r="E464" s="3"/>
    </row>
    <row r="465">
      <c r="A465" s="3">
        <v>463.0</v>
      </c>
      <c r="B465" s="3">
        <v>6045.0</v>
      </c>
      <c r="C465" s="3">
        <v>2.0</v>
      </c>
      <c r="D465" s="3">
        <v>103.0</v>
      </c>
      <c r="E465" s="3"/>
    </row>
    <row r="466">
      <c r="A466" s="3">
        <v>464.0</v>
      </c>
      <c r="B466" s="3">
        <v>3653.0</v>
      </c>
      <c r="C466" s="3">
        <v>2.0</v>
      </c>
      <c r="D466" s="3">
        <v>44.0</v>
      </c>
      <c r="E466" s="3"/>
    </row>
    <row r="467">
      <c r="A467" s="3">
        <v>465.0</v>
      </c>
      <c r="B467" s="3">
        <v>14709.0</v>
      </c>
      <c r="C467" s="3">
        <v>1.0</v>
      </c>
      <c r="D467" s="3">
        <v>79.0</v>
      </c>
      <c r="E467" s="3"/>
    </row>
    <row r="468">
      <c r="A468" s="3">
        <v>466.0</v>
      </c>
      <c r="B468" s="3">
        <v>18941.0</v>
      </c>
      <c r="C468" s="3">
        <v>2.0</v>
      </c>
      <c r="D468" s="3">
        <v>287.0</v>
      </c>
      <c r="E468" s="3"/>
    </row>
    <row r="469">
      <c r="A469" s="3">
        <v>467.0</v>
      </c>
      <c r="B469" s="3">
        <v>5065.0</v>
      </c>
      <c r="C469" s="3">
        <v>1.0</v>
      </c>
      <c r="D469" s="3">
        <v>46.0</v>
      </c>
      <c r="E469" s="3"/>
    </row>
    <row r="470">
      <c r="A470" s="3">
        <v>468.0</v>
      </c>
      <c r="B470" s="3">
        <v>28164.0</v>
      </c>
      <c r="C470" s="3">
        <v>3.0</v>
      </c>
      <c r="D470" s="3">
        <v>370.0</v>
      </c>
      <c r="E470" s="3"/>
    </row>
    <row r="471">
      <c r="A471" s="3">
        <v>469.0</v>
      </c>
      <c r="B471" s="3">
        <v>4143.0</v>
      </c>
      <c r="C471" s="3">
        <v>1.0</v>
      </c>
      <c r="D471" s="3">
        <v>54.0</v>
      </c>
      <c r="E471" s="3"/>
    </row>
    <row r="472">
      <c r="A472" s="3">
        <v>470.0</v>
      </c>
      <c r="B472" s="3">
        <v>10014.0</v>
      </c>
      <c r="C472" s="3">
        <v>3.0</v>
      </c>
      <c r="D472" s="3">
        <v>124.0</v>
      </c>
      <c r="E472" s="3"/>
    </row>
    <row r="473">
      <c r="A473" s="3">
        <v>471.0</v>
      </c>
      <c r="B473" s="3">
        <v>18199.0</v>
      </c>
      <c r="C473" s="3">
        <v>3.0</v>
      </c>
      <c r="D473" s="3">
        <v>240.0</v>
      </c>
      <c r="E473" s="3"/>
    </row>
    <row r="474">
      <c r="A474" s="3">
        <v>472.0</v>
      </c>
      <c r="B474" s="3">
        <v>30973.0</v>
      </c>
      <c r="C474" s="3">
        <v>2.0</v>
      </c>
      <c r="D474" s="3">
        <v>343.0</v>
      </c>
      <c r="E474" s="3"/>
    </row>
    <row r="475">
      <c r="A475" s="3">
        <v>473.0</v>
      </c>
      <c r="B475" s="3">
        <v>5354.0</v>
      </c>
      <c r="C475" s="3">
        <v>1.0</v>
      </c>
      <c r="D475" s="3">
        <v>97.0</v>
      </c>
      <c r="E475" s="3"/>
    </row>
    <row r="476">
      <c r="A476" s="3">
        <v>474.0</v>
      </c>
      <c r="B476" s="3">
        <v>11790.0</v>
      </c>
      <c r="C476" s="3">
        <v>2.0</v>
      </c>
      <c r="D476" s="3">
        <v>83.0</v>
      </c>
      <c r="E476" s="3"/>
    </row>
    <row r="477">
      <c r="A477" s="3">
        <v>475.0</v>
      </c>
      <c r="B477" s="3">
        <v>12701.0</v>
      </c>
      <c r="C477" s="3">
        <v>2.0</v>
      </c>
      <c r="D477" s="3">
        <v>95.0</v>
      </c>
      <c r="E477" s="3"/>
    </row>
    <row r="478">
      <c r="A478" s="3">
        <v>476.0</v>
      </c>
      <c r="B478" s="3">
        <v>22154.0</v>
      </c>
      <c r="C478" s="3">
        <v>3.0</v>
      </c>
      <c r="D478" s="3">
        <v>227.0</v>
      </c>
      <c r="E478" s="3"/>
    </row>
    <row r="479">
      <c r="A479" s="3">
        <v>477.0</v>
      </c>
      <c r="B479" s="3">
        <v>4845.0</v>
      </c>
      <c r="C479" s="3">
        <v>2.0</v>
      </c>
      <c r="D479" s="3">
        <v>83.0</v>
      </c>
      <c r="E479" s="3"/>
    </row>
    <row r="480">
      <c r="A480" s="3">
        <v>478.0</v>
      </c>
      <c r="B480" s="3">
        <v>18338.0</v>
      </c>
      <c r="C480" s="3">
        <v>3.0</v>
      </c>
      <c r="D480" s="3">
        <v>317.0</v>
      </c>
      <c r="E480" s="3"/>
    </row>
    <row r="481">
      <c r="A481" s="3">
        <v>479.0</v>
      </c>
      <c r="B481" s="3">
        <v>5673.0</v>
      </c>
      <c r="C481" s="3">
        <v>1.0</v>
      </c>
      <c r="D481" s="3">
        <v>99.0</v>
      </c>
      <c r="E481" s="3"/>
    </row>
    <row r="482">
      <c r="A482" s="3">
        <v>480.0</v>
      </c>
      <c r="B482" s="3">
        <v>22836.0</v>
      </c>
      <c r="C482" s="3">
        <v>3.0</v>
      </c>
      <c r="D482" s="3">
        <v>337.0</v>
      </c>
      <c r="E482" s="3"/>
    </row>
    <row r="483">
      <c r="A483" s="3">
        <v>481.0</v>
      </c>
      <c r="B483" s="3">
        <v>23835.0</v>
      </c>
      <c r="C483" s="3">
        <v>3.0</v>
      </c>
      <c r="D483" s="3">
        <v>296.0</v>
      </c>
      <c r="E483" s="3"/>
    </row>
    <row r="484">
      <c r="A484" s="3">
        <v>482.0</v>
      </c>
      <c r="B484" s="3">
        <v>3657.0</v>
      </c>
      <c r="C484" s="3">
        <v>1.0</v>
      </c>
      <c r="D484" s="3">
        <v>40.0</v>
      </c>
      <c r="E484" s="3"/>
    </row>
    <row r="485">
      <c r="A485" s="3">
        <v>483.0</v>
      </c>
      <c r="B485" s="3">
        <v>23673.0</v>
      </c>
      <c r="C485" s="3">
        <v>3.0</v>
      </c>
      <c r="D485" s="3">
        <v>441.0</v>
      </c>
      <c r="E485" s="3"/>
    </row>
    <row r="486">
      <c r="A486" s="3">
        <v>484.0</v>
      </c>
      <c r="B486" s="3">
        <v>44164.0</v>
      </c>
      <c r="C486" s="3">
        <v>3.0</v>
      </c>
      <c r="D486" s="3">
        <v>388.0</v>
      </c>
      <c r="E486" s="3"/>
    </row>
    <row r="487">
      <c r="A487" s="3">
        <v>485.0</v>
      </c>
      <c r="B487" s="3">
        <v>10270.0</v>
      </c>
      <c r="C487" s="3">
        <v>1.0</v>
      </c>
      <c r="D487" s="3">
        <v>118.0</v>
      </c>
      <c r="E487" s="3"/>
    </row>
    <row r="488">
      <c r="A488" s="3">
        <v>486.0</v>
      </c>
      <c r="B488" s="3">
        <v>12131.0</v>
      </c>
      <c r="C488" s="3">
        <v>3.0</v>
      </c>
      <c r="D488" s="3">
        <v>134.0</v>
      </c>
      <c r="E488" s="3"/>
    </row>
    <row r="489">
      <c r="A489" s="3">
        <v>487.0</v>
      </c>
      <c r="B489" s="3">
        <v>16272.0</v>
      </c>
      <c r="C489" s="3">
        <v>1.0</v>
      </c>
      <c r="D489" s="3">
        <v>187.0</v>
      </c>
      <c r="E489" s="3"/>
    </row>
    <row r="490">
      <c r="A490" s="3">
        <v>488.0</v>
      </c>
      <c r="B490" s="3">
        <v>6610.0</v>
      </c>
      <c r="C490" s="3">
        <v>1.0</v>
      </c>
      <c r="D490" s="3">
        <v>40.0</v>
      </c>
      <c r="E490" s="3"/>
    </row>
    <row r="491">
      <c r="A491" s="3">
        <v>489.0</v>
      </c>
      <c r="B491" s="3">
        <v>18227.0</v>
      </c>
      <c r="C491" s="3">
        <v>3.0</v>
      </c>
      <c r="D491" s="3">
        <v>292.0</v>
      </c>
      <c r="E491" s="3"/>
    </row>
    <row r="492">
      <c r="A492" s="3">
        <v>490.0</v>
      </c>
      <c r="B492" s="3">
        <v>22031.0</v>
      </c>
      <c r="C492" s="3">
        <v>3.0</v>
      </c>
      <c r="D492" s="3">
        <v>215.0</v>
      </c>
      <c r="E492" s="3"/>
    </row>
    <row r="493">
      <c r="A493" s="3">
        <v>491.0</v>
      </c>
      <c r="B493" s="3">
        <v>16178.0</v>
      </c>
      <c r="C493" s="3">
        <v>2.0</v>
      </c>
      <c r="D493" s="3">
        <v>183.0</v>
      </c>
      <c r="E493" s="3"/>
    </row>
    <row r="494">
      <c r="A494" s="3">
        <v>492.0</v>
      </c>
      <c r="B494" s="3">
        <v>18395.0</v>
      </c>
      <c r="C494" s="3">
        <v>2.0</v>
      </c>
      <c r="D494" s="3">
        <v>173.0</v>
      </c>
      <c r="E494" s="3"/>
    </row>
    <row r="495">
      <c r="A495" s="3">
        <v>493.0</v>
      </c>
      <c r="B495" s="3">
        <v>18571.0</v>
      </c>
      <c r="C495" s="3">
        <v>2.0</v>
      </c>
      <c r="D495" s="3">
        <v>137.0</v>
      </c>
      <c r="E495" s="3"/>
    </row>
    <row r="496">
      <c r="A496" s="3">
        <v>494.0</v>
      </c>
      <c r="B496" s="3">
        <v>24153.0</v>
      </c>
      <c r="C496" s="3">
        <v>3.0</v>
      </c>
      <c r="D496" s="3">
        <v>242.0</v>
      </c>
      <c r="E496" s="3"/>
    </row>
    <row r="497">
      <c r="A497" s="3">
        <v>495.0</v>
      </c>
      <c r="B497" s="3">
        <v>3908.0</v>
      </c>
      <c r="C497" s="3">
        <v>1.0</v>
      </c>
      <c r="D497" s="3">
        <v>35.0</v>
      </c>
      <c r="E497" s="3"/>
    </row>
    <row r="498">
      <c r="A498" s="3">
        <v>496.0</v>
      </c>
      <c r="B498" s="3">
        <v>7608.0</v>
      </c>
      <c r="C498" s="3">
        <v>3.0</v>
      </c>
      <c r="D498" s="3">
        <v>59.0</v>
      </c>
      <c r="E498" s="3"/>
    </row>
    <row r="499">
      <c r="A499" s="3">
        <v>497.0</v>
      </c>
      <c r="B499" s="3">
        <v>4467.0</v>
      </c>
      <c r="C499" s="3">
        <v>1.0</v>
      </c>
      <c r="D499" s="3">
        <v>27.0</v>
      </c>
      <c r="E499" s="3"/>
    </row>
    <row r="500">
      <c r="A500" s="3">
        <v>498.0</v>
      </c>
      <c r="B500" s="3">
        <v>8073.0</v>
      </c>
      <c r="C500" s="3">
        <v>2.0</v>
      </c>
      <c r="D500" s="3">
        <v>74.0</v>
      </c>
      <c r="E500" s="3"/>
    </row>
    <row r="501">
      <c r="A501" s="3">
        <v>499.0</v>
      </c>
      <c r="B501" s="3">
        <v>28816.0</v>
      </c>
      <c r="C501" s="3">
        <v>2.0</v>
      </c>
      <c r="D501" s="3">
        <v>276.0</v>
      </c>
      <c r="E501" s="3"/>
    </row>
    <row r="502">
      <c r="A502" s="3">
        <v>500.0</v>
      </c>
      <c r="B502" s="3">
        <v>26870.0</v>
      </c>
      <c r="C502" s="3">
        <v>3.0</v>
      </c>
      <c r="D502" s="3">
        <v>284.0</v>
      </c>
      <c r="E502" s="3"/>
    </row>
    <row r="503">
      <c r="A503" s="3">
        <v>501.0</v>
      </c>
      <c r="B503" s="3">
        <v>462.0</v>
      </c>
      <c r="C503" s="3">
        <v>1.0</v>
      </c>
      <c r="D503" s="3">
        <v>5.0</v>
      </c>
      <c r="E503" s="3"/>
    </row>
    <row r="504">
      <c r="A504" s="3">
        <v>502.0</v>
      </c>
      <c r="B504" s="3">
        <v>681.0</v>
      </c>
      <c r="C504" s="3">
        <v>1.0</v>
      </c>
      <c r="D504" s="3">
        <v>10.0</v>
      </c>
      <c r="E504" s="3"/>
    </row>
    <row r="505">
      <c r="A505" s="3">
        <v>503.0</v>
      </c>
      <c r="B505" s="3">
        <v>1168.0</v>
      </c>
      <c r="C505" s="3">
        <v>1.0</v>
      </c>
      <c r="D505" s="3">
        <v>15.0</v>
      </c>
      <c r="E505" s="3"/>
    </row>
    <row r="506">
      <c r="A506" s="3">
        <v>504.0</v>
      </c>
      <c r="B506" s="3">
        <v>1047.0</v>
      </c>
      <c r="C506" s="3">
        <v>1.0</v>
      </c>
      <c r="D506" s="3">
        <v>20.0</v>
      </c>
      <c r="E506" s="3"/>
    </row>
    <row r="507">
      <c r="A507" s="3">
        <v>505.0</v>
      </c>
      <c r="B507" s="3">
        <v>1866.0</v>
      </c>
      <c r="C507" s="3">
        <v>1.0</v>
      </c>
      <c r="D507" s="3">
        <v>25.0</v>
      </c>
      <c r="E507" s="3"/>
    </row>
    <row r="508">
      <c r="A508" s="3" t="s">
        <v>112</v>
      </c>
      <c r="B508" s="3">
        <v>3238.0</v>
      </c>
      <c r="C508" s="3">
        <v>2.0</v>
      </c>
      <c r="D508" s="3">
        <v>34.0</v>
      </c>
      <c r="E508" s="3"/>
    </row>
    <row r="509">
      <c r="A509" s="3" t="s">
        <v>113</v>
      </c>
      <c r="B509" s="3">
        <v>6989.0</v>
      </c>
      <c r="C509" s="3">
        <v>1.0</v>
      </c>
      <c r="D509" s="3">
        <v>99.0</v>
      </c>
      <c r="E509" s="3"/>
    </row>
    <row r="510">
      <c r="A510" s="3" t="s">
        <v>115</v>
      </c>
      <c r="B510" s="3">
        <v>7098.0</v>
      </c>
      <c r="C510" s="3">
        <v>2.0</v>
      </c>
      <c r="D510" s="3">
        <v>90.0</v>
      </c>
      <c r="E510" s="3"/>
    </row>
    <row r="511">
      <c r="A511" s="3" t="s">
        <v>116</v>
      </c>
      <c r="B511" s="3">
        <v>10443.0</v>
      </c>
      <c r="C511" s="3">
        <v>1.0</v>
      </c>
      <c r="D511" s="3">
        <v>170.0</v>
      </c>
      <c r="E511" s="3"/>
    </row>
    <row r="512">
      <c r="A512" s="3" t="s">
        <v>117</v>
      </c>
      <c r="B512" s="3">
        <v>11518.0</v>
      </c>
      <c r="C512" s="3">
        <v>3.0</v>
      </c>
      <c r="D512" s="3">
        <v>137.0</v>
      </c>
      <c r="E512" s="3"/>
    </row>
    <row r="513">
      <c r="A513" s="3" t="s">
        <v>119</v>
      </c>
      <c r="B513" s="3">
        <v>11548.0</v>
      </c>
      <c r="C513" s="3">
        <v>2.0</v>
      </c>
      <c r="D513" s="3">
        <v>158.0</v>
      </c>
      <c r="E513" s="3"/>
    </row>
    <row r="514">
      <c r="A514" s="3" t="s">
        <v>120</v>
      </c>
      <c r="B514" s="3">
        <v>14637.0</v>
      </c>
      <c r="C514" s="3">
        <v>1.0</v>
      </c>
      <c r="D514" s="3">
        <v>140.0</v>
      </c>
      <c r="E514" s="3"/>
    </row>
    <row r="515">
      <c r="A515" s="3" t="s">
        <v>122</v>
      </c>
      <c r="B515" s="3">
        <v>19498.0</v>
      </c>
      <c r="C515" s="3">
        <v>2.0</v>
      </c>
      <c r="D515" s="3">
        <v>188.0</v>
      </c>
      <c r="E515" s="3"/>
    </row>
    <row r="516">
      <c r="A516" s="3" t="s">
        <v>123</v>
      </c>
      <c r="B516" s="3">
        <v>20247.0</v>
      </c>
      <c r="C516" s="3">
        <v>1.0</v>
      </c>
      <c r="D516" s="3">
        <v>313.0</v>
      </c>
      <c r="E516" s="3"/>
    </row>
    <row r="517">
      <c r="A517" s="3" t="s">
        <v>124</v>
      </c>
      <c r="B517" s="3">
        <v>21709.0</v>
      </c>
      <c r="C517" s="3">
        <v>3.0</v>
      </c>
      <c r="D517" s="3">
        <v>235.0</v>
      </c>
      <c r="E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